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m\Desktop\Рабочая папка\ITiABD\Курс 3\МО\"/>
    </mc:Choice>
  </mc:AlternateContent>
  <xr:revisionPtr revIDLastSave="0" documentId="8_{218C5D64-21CA-4FDC-8276-AE88E23EC69A}" xr6:coauthVersionLast="47" xr6:coauthVersionMax="47" xr10:uidLastSave="{00000000-0000-0000-0000-000000000000}"/>
  <bookViews>
    <workbookView xWindow="-108" yWindow="-108" windowWidth="23256" windowHeight="13896" xr2:uid="{22BBDFB5-B2AF-4F26-9575-44C9CD2A8F3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8" i="1" l="1"/>
  <c r="X45" i="1"/>
  <c r="Y45" i="1"/>
  <c r="Z45" i="1"/>
  <c r="W45" i="1"/>
  <c r="X44" i="1"/>
  <c r="Y44" i="1"/>
  <c r="Z44" i="1"/>
  <c r="W44" i="1"/>
  <c r="X43" i="1"/>
  <c r="Y43" i="1"/>
  <c r="Z43" i="1"/>
  <c r="W43" i="1"/>
  <c r="X42" i="1"/>
  <c r="Y42" i="1"/>
  <c r="Z42" i="1"/>
  <c r="W42" i="1"/>
  <c r="T34" i="1"/>
  <c r="W31" i="1"/>
  <c r="T35" i="1" s="1"/>
  <c r="Y31" i="1" s="1"/>
  <c r="J25" i="1"/>
  <c r="J27" i="1"/>
  <c r="J26" i="1"/>
  <c r="J24" i="1"/>
  <c r="J23" i="1"/>
  <c r="J22" i="1"/>
  <c r="J21" i="1"/>
  <c r="T13" i="1"/>
  <c r="W10" i="1" s="1"/>
  <c r="J18" i="1"/>
  <c r="J17" i="1"/>
  <c r="J16" i="1"/>
  <c r="J15" i="1"/>
  <c r="J14" i="1"/>
  <c r="J13" i="1"/>
  <c r="J12" i="1"/>
  <c r="C8" i="1"/>
  <c r="H3" i="1"/>
  <c r="T14" i="1" l="1"/>
  <c r="W23" i="1"/>
  <c r="W24" i="1"/>
  <c r="X31" i="1"/>
  <c r="T36" i="1" s="1"/>
  <c r="Z31" i="1" s="1"/>
  <c r="T37" i="1" s="1"/>
  <c r="X10" i="1" l="1"/>
  <c r="Y10" i="1"/>
  <c r="Y24" i="1" l="1"/>
  <c r="T15" i="1"/>
  <c r="Y23" i="1"/>
  <c r="Y25" i="1"/>
  <c r="X23" i="1"/>
  <c r="X25" i="1"/>
  <c r="X24" i="1"/>
  <c r="Z10" i="1" l="1"/>
  <c r="W25" i="1"/>
  <c r="Z23" i="1" l="1"/>
  <c r="T16" i="1"/>
  <c r="Z25" i="1"/>
  <c r="Z24" i="1"/>
  <c r="Z26" i="1"/>
  <c r="W26" i="1" l="1"/>
  <c r="Y26" i="1"/>
  <c r="X26" i="1"/>
</calcChain>
</file>

<file path=xl/sharedStrings.xml><?xml version="1.0" encoding="utf-8"?>
<sst xmlns="http://schemas.openxmlformats.org/spreadsheetml/2006/main" count="144" uniqueCount="61">
  <si>
    <t>Склад 1</t>
  </si>
  <si>
    <t>Склад 2</t>
  </si>
  <si>
    <t>Склад 3</t>
  </si>
  <si>
    <t>Склад 4</t>
  </si>
  <si>
    <t>Пост. 1</t>
  </si>
  <si>
    <t>Пост. 2</t>
  </si>
  <si>
    <t>Пост. 3</t>
  </si>
  <si>
    <t>Пост. 4</t>
  </si>
  <si>
    <t>Условие</t>
  </si>
  <si>
    <t>Решение</t>
  </si>
  <si>
    <t>Осн. Перем.</t>
  </si>
  <si>
    <t>Неосн. Перем.</t>
  </si>
  <si>
    <t>x11</t>
  </si>
  <si>
    <t>x21</t>
  </si>
  <si>
    <t>x22</t>
  </si>
  <si>
    <t>x23</t>
  </si>
  <si>
    <t>x33</t>
  </si>
  <si>
    <t>x34</t>
  </si>
  <si>
    <t>x44</t>
  </si>
  <si>
    <t>x12</t>
  </si>
  <si>
    <t>x13</t>
  </si>
  <si>
    <t>x14</t>
  </si>
  <si>
    <t>x31</t>
  </si>
  <si>
    <t>x32</t>
  </si>
  <si>
    <t>x41</t>
  </si>
  <si>
    <t>x42</t>
  </si>
  <si>
    <t>x43</t>
  </si>
  <si>
    <t>v1</t>
  </si>
  <si>
    <t>v2</t>
  </si>
  <si>
    <t>v3</t>
  </si>
  <si>
    <t>v4</t>
  </si>
  <si>
    <t>u1</t>
  </si>
  <si>
    <t>u3</t>
  </si>
  <si>
    <t>u2</t>
  </si>
  <si>
    <t>u4</t>
  </si>
  <si>
    <t>vj = uj + cij</t>
  </si>
  <si>
    <t>-</t>
  </si>
  <si>
    <t>Интерпритация знаков оцен. табл.</t>
  </si>
  <si>
    <t>v1=</t>
  </si>
  <si>
    <t>u1+c11</t>
  </si>
  <si>
    <t>v2=</t>
  </si>
  <si>
    <t>u2+c22</t>
  </si>
  <si>
    <t>v3=</t>
  </si>
  <si>
    <t>u2=</t>
  </si>
  <si>
    <t>v1-c21</t>
  </si>
  <si>
    <t>u2+c23</t>
  </si>
  <si>
    <t>v3-c33</t>
  </si>
  <si>
    <t>u3=</t>
  </si>
  <si>
    <t>v4=</t>
  </si>
  <si>
    <t>u3+c34</t>
  </si>
  <si>
    <t>u4=</t>
  </si>
  <si>
    <t>v4 - c44</t>
  </si>
  <si>
    <t>Оценочная матрица</t>
  </si>
  <si>
    <t>||cij - vj + ui||</t>
  </si>
  <si>
    <t>C' =</t>
  </si>
  <si>
    <t>Решение вырождено</t>
  </si>
  <si>
    <t>x24</t>
  </si>
  <si>
    <t>Шаг 1</t>
  </si>
  <si>
    <t>Оптимум</t>
  </si>
  <si>
    <t>Вывод: Решение вырождено, но оптимальное</t>
  </si>
  <si>
    <t>Затраты: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</si>
</sst>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6" borderId="0" xfId="0" applyFont="1" applyFill="1"/>
    <xf numFmtId="0" fontId="0" fillId="6" borderId="0" xfId="0" applyFill="1"/>
    <xf numFmtId="0" fontId="0" fillId="7" borderId="0" xfId="0" applyFill="1"/>
    <xf numFmtId="0" fontId="0" fillId="2" borderId="0" xfId="0" applyFill="1" applyAlignment="1">
      <alignment horizontal="center"/>
    </xf>
    <xf numFmtId="0" fontId="0" fillId="8" borderId="0" xfId="0" quotePrefix="1" applyFill="1"/>
    <xf numFmtId="0" fontId="0" fillId="0" borderId="0" xfId="0" applyAlignment="1">
      <alignment horizontal="center"/>
    </xf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4" borderId="0" xfId="0" applyFill="1" applyAlignment="1">
      <alignment horizontal="center"/>
    </xf>
    <xf numFmtId="0" fontId="0" fillId="11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5" Type="http://schemas.openxmlformats.org/officeDocument/2006/relationships/customXml" Target="../ink/ink3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290945</xdr:colOff>
      <xdr:row>4</xdr:row>
      <xdr:rowOff>41564</xdr:rowOff>
    </xdr:from>
    <xdr:to>
      <xdr:col>10</xdr:col>
      <xdr:colOff>290945</xdr:colOff>
      <xdr:row>6</xdr:row>
      <xdr:rowOff>48490</xdr:rowOff>
    </xdr:to>
    <xdr:cxnSp macro="">
      <xdr:nvCxnSpPr>
        <xdr:cNvPr id="3" name="Прямая со стрелкой 2">
          <a:extLst>
            <a:ext uri="{FF2B5EF4-FFF2-40B4-BE49-F238E27FC236}">
              <a16:creationId xmlns:a16="http://schemas.microsoft.com/office/drawing/2014/main" id="{A5579DE6-F9C2-4CA4-ED1B-72E4F5A21FF7}"/>
            </a:ext>
          </a:extLst>
        </xdr:cNvPr>
        <xdr:cNvCxnSpPr/>
      </xdr:nvCxnSpPr>
      <xdr:spPr>
        <a:xfrm>
          <a:off x="6386945" y="762000"/>
          <a:ext cx="0" cy="36714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48490</xdr:colOff>
      <xdr:row>4</xdr:row>
      <xdr:rowOff>34637</xdr:rowOff>
    </xdr:from>
    <xdr:ext cx="25616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BA2CE82-C21F-EC91-7D61-6A35FCC567A7}"/>
            </a:ext>
          </a:extLst>
        </xdr:cNvPr>
        <xdr:cNvSpPr txBox="1"/>
      </xdr:nvSpPr>
      <xdr:spPr>
        <a:xfrm>
          <a:off x="6144490" y="755073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100"/>
            <a:t>1</a:t>
          </a:r>
        </a:p>
      </xdr:txBody>
    </xdr:sp>
    <xdr:clientData/>
  </xdr:oneCellAnchor>
  <xdr:twoCellAnchor>
    <xdr:from>
      <xdr:col>10</xdr:col>
      <xdr:colOff>339436</xdr:colOff>
      <xdr:row>4</xdr:row>
      <xdr:rowOff>0</xdr:rowOff>
    </xdr:from>
    <xdr:to>
      <xdr:col>12</xdr:col>
      <xdr:colOff>284018</xdr:colOff>
      <xdr:row>5</xdr:row>
      <xdr:rowOff>173182</xdr:rowOff>
    </xdr:to>
    <xdr:cxnSp macro="">
      <xdr:nvCxnSpPr>
        <xdr:cNvPr id="6" name="Прямая со стрелкой 5">
          <a:extLst>
            <a:ext uri="{FF2B5EF4-FFF2-40B4-BE49-F238E27FC236}">
              <a16:creationId xmlns:a16="http://schemas.microsoft.com/office/drawing/2014/main" id="{57B0C5B4-741C-1105-E6CD-8A8A3DC7D3C7}"/>
            </a:ext>
          </a:extLst>
        </xdr:cNvPr>
        <xdr:cNvCxnSpPr/>
      </xdr:nvCxnSpPr>
      <xdr:spPr>
        <a:xfrm flipH="1">
          <a:off x="6435436" y="720436"/>
          <a:ext cx="1163782" cy="35329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138545</xdr:colOff>
      <xdr:row>3</xdr:row>
      <xdr:rowOff>173182</xdr:rowOff>
    </xdr:from>
    <xdr:ext cx="256160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B593E5D-B687-157A-1AA7-9B4808AF8A0D}"/>
            </a:ext>
          </a:extLst>
        </xdr:cNvPr>
        <xdr:cNvSpPr txBox="1"/>
      </xdr:nvSpPr>
      <xdr:spPr>
        <a:xfrm>
          <a:off x="6844145" y="713509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100"/>
            <a:t>3</a:t>
          </a:r>
        </a:p>
      </xdr:txBody>
    </xdr:sp>
    <xdr:clientData/>
  </xdr:oneCellAnchor>
  <xdr:twoCellAnchor>
    <xdr:from>
      <xdr:col>12</xdr:col>
      <xdr:colOff>284018</xdr:colOff>
      <xdr:row>4</xdr:row>
      <xdr:rowOff>27709</xdr:rowOff>
    </xdr:from>
    <xdr:to>
      <xdr:col>12</xdr:col>
      <xdr:colOff>284018</xdr:colOff>
      <xdr:row>5</xdr:row>
      <xdr:rowOff>166255</xdr:rowOff>
    </xdr:to>
    <xdr:cxnSp macro="">
      <xdr:nvCxnSpPr>
        <xdr:cNvPr id="10" name="Прямая со стрелкой 9">
          <a:extLst>
            <a:ext uri="{FF2B5EF4-FFF2-40B4-BE49-F238E27FC236}">
              <a16:creationId xmlns:a16="http://schemas.microsoft.com/office/drawing/2014/main" id="{A050193B-E226-9CE9-E836-B521D02BA83C}"/>
            </a:ext>
          </a:extLst>
        </xdr:cNvPr>
        <xdr:cNvCxnSpPr/>
      </xdr:nvCxnSpPr>
      <xdr:spPr>
        <a:xfrm>
          <a:off x="7599218" y="748145"/>
          <a:ext cx="0" cy="31865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249383</xdr:colOff>
      <xdr:row>4</xdr:row>
      <xdr:rowOff>34636</xdr:rowOff>
    </xdr:from>
    <xdr:ext cx="256160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DF95FEF4-3856-26D1-663A-542E1DE5B1EB}"/>
            </a:ext>
          </a:extLst>
        </xdr:cNvPr>
        <xdr:cNvSpPr txBox="1"/>
      </xdr:nvSpPr>
      <xdr:spPr>
        <a:xfrm>
          <a:off x="7564583" y="755072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100"/>
            <a:t>4</a:t>
          </a:r>
        </a:p>
      </xdr:txBody>
    </xdr:sp>
    <xdr:clientData/>
  </xdr:oneCellAnchor>
  <xdr:twoCellAnchor>
    <xdr:from>
      <xdr:col>12</xdr:col>
      <xdr:colOff>284018</xdr:colOff>
      <xdr:row>3</xdr:row>
      <xdr:rowOff>138546</xdr:rowOff>
    </xdr:from>
    <xdr:to>
      <xdr:col>14</xdr:col>
      <xdr:colOff>297873</xdr:colOff>
      <xdr:row>5</xdr:row>
      <xdr:rowOff>159328</xdr:rowOff>
    </xdr:to>
    <xdr:cxnSp macro="">
      <xdr:nvCxnSpPr>
        <xdr:cNvPr id="13" name="Прямая со стрелкой 12">
          <a:extLst>
            <a:ext uri="{FF2B5EF4-FFF2-40B4-BE49-F238E27FC236}">
              <a16:creationId xmlns:a16="http://schemas.microsoft.com/office/drawing/2014/main" id="{E4D76F34-6EDF-69F7-2BB9-BCE4C3EBDEFB}"/>
            </a:ext>
          </a:extLst>
        </xdr:cNvPr>
        <xdr:cNvCxnSpPr/>
      </xdr:nvCxnSpPr>
      <xdr:spPr>
        <a:xfrm>
          <a:off x="7599218" y="678873"/>
          <a:ext cx="1233055" cy="3810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138546</xdr:colOff>
      <xdr:row>4</xdr:row>
      <xdr:rowOff>96982</xdr:rowOff>
    </xdr:from>
    <xdr:ext cx="256160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566F3495-B46C-95D3-6C45-53BF090D0814}"/>
            </a:ext>
          </a:extLst>
        </xdr:cNvPr>
        <xdr:cNvSpPr txBox="1"/>
      </xdr:nvSpPr>
      <xdr:spPr>
        <a:xfrm>
          <a:off x="8063346" y="817418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100"/>
            <a:t>1</a:t>
          </a:r>
        </a:p>
      </xdr:txBody>
    </xdr:sp>
    <xdr:clientData/>
  </xdr:oneCellAnchor>
  <xdr:twoCellAnchor>
    <xdr:from>
      <xdr:col>14</xdr:col>
      <xdr:colOff>263236</xdr:colOff>
      <xdr:row>4</xdr:row>
      <xdr:rowOff>27709</xdr:rowOff>
    </xdr:from>
    <xdr:to>
      <xdr:col>14</xdr:col>
      <xdr:colOff>263236</xdr:colOff>
      <xdr:row>5</xdr:row>
      <xdr:rowOff>159328</xdr:rowOff>
    </xdr:to>
    <xdr:cxnSp macro="">
      <xdr:nvCxnSpPr>
        <xdr:cNvPr id="16" name="Прямая со стрелкой 15">
          <a:extLst>
            <a:ext uri="{FF2B5EF4-FFF2-40B4-BE49-F238E27FC236}">
              <a16:creationId xmlns:a16="http://schemas.microsoft.com/office/drawing/2014/main" id="{A713DE50-43F4-0E2E-B004-8B782BC733F4}"/>
            </a:ext>
          </a:extLst>
        </xdr:cNvPr>
        <xdr:cNvCxnSpPr/>
      </xdr:nvCxnSpPr>
      <xdr:spPr>
        <a:xfrm>
          <a:off x="8797636" y="748145"/>
          <a:ext cx="0" cy="31172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14</xdr:col>
      <xdr:colOff>235528</xdr:colOff>
      <xdr:row>4</xdr:row>
      <xdr:rowOff>20782</xdr:rowOff>
    </xdr:from>
    <xdr:ext cx="256160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87D34C8A-4200-775F-98CC-6460F170A8E4}"/>
            </a:ext>
          </a:extLst>
        </xdr:cNvPr>
        <xdr:cNvSpPr txBox="1"/>
      </xdr:nvSpPr>
      <xdr:spPr>
        <a:xfrm>
          <a:off x="8769928" y="741218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100"/>
            <a:t>8</a:t>
          </a:r>
        </a:p>
      </xdr:txBody>
    </xdr:sp>
    <xdr:clientData/>
  </xdr:oneCellAnchor>
  <xdr:twoCellAnchor>
    <xdr:from>
      <xdr:col>14</xdr:col>
      <xdr:colOff>363608</xdr:colOff>
      <xdr:row>4</xdr:row>
      <xdr:rowOff>20782</xdr:rowOff>
    </xdr:from>
    <xdr:to>
      <xdr:col>16</xdr:col>
      <xdr:colOff>249382</xdr:colOff>
      <xdr:row>5</xdr:row>
      <xdr:rowOff>145473</xdr:rowOff>
    </xdr:to>
    <xdr:cxnSp macro="">
      <xdr:nvCxnSpPr>
        <xdr:cNvPr id="19" name="Прямая со стрелкой 18">
          <a:extLst>
            <a:ext uri="{FF2B5EF4-FFF2-40B4-BE49-F238E27FC236}">
              <a16:creationId xmlns:a16="http://schemas.microsoft.com/office/drawing/2014/main" id="{39670113-E1BB-03A8-7CBB-2ED9B8B0D70B}"/>
            </a:ext>
          </a:extLst>
        </xdr:cNvPr>
        <xdr:cNvCxnSpPr>
          <a:stCxn id="17" idx="0"/>
        </xdr:cNvCxnSpPr>
      </xdr:nvCxnSpPr>
      <xdr:spPr>
        <a:xfrm>
          <a:off x="8898008" y="741218"/>
          <a:ext cx="1104974" cy="3048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284018</xdr:colOff>
      <xdr:row>4</xdr:row>
      <xdr:rowOff>27709</xdr:rowOff>
    </xdr:from>
    <xdr:to>
      <xdr:col>16</xdr:col>
      <xdr:colOff>290945</xdr:colOff>
      <xdr:row>5</xdr:row>
      <xdr:rowOff>173182</xdr:rowOff>
    </xdr:to>
    <xdr:cxnSp macro="">
      <xdr:nvCxnSpPr>
        <xdr:cNvPr id="20" name="Прямая со стрелкой 19">
          <a:extLst>
            <a:ext uri="{FF2B5EF4-FFF2-40B4-BE49-F238E27FC236}">
              <a16:creationId xmlns:a16="http://schemas.microsoft.com/office/drawing/2014/main" id="{18C95C58-6F19-41F6-901F-EBE51E3E1E85}"/>
            </a:ext>
          </a:extLst>
        </xdr:cNvPr>
        <xdr:cNvCxnSpPr/>
      </xdr:nvCxnSpPr>
      <xdr:spPr>
        <a:xfrm flipH="1">
          <a:off x="10037618" y="748145"/>
          <a:ext cx="6927" cy="325582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15</xdr:col>
      <xdr:colOff>131617</xdr:colOff>
      <xdr:row>4</xdr:row>
      <xdr:rowOff>145474</xdr:rowOff>
    </xdr:from>
    <xdr:ext cx="256160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965F0D06-15E8-2BBF-19ED-FD6BF53B06D2}"/>
            </a:ext>
          </a:extLst>
        </xdr:cNvPr>
        <xdr:cNvSpPr txBox="1"/>
      </xdr:nvSpPr>
      <xdr:spPr>
        <a:xfrm>
          <a:off x="9275617" y="865910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100"/>
            <a:t>3</a:t>
          </a:r>
        </a:p>
      </xdr:txBody>
    </xdr:sp>
    <xdr:clientData/>
  </xdr:oneCellAnchor>
  <xdr:oneCellAnchor>
    <xdr:from>
      <xdr:col>16</xdr:col>
      <xdr:colOff>290945</xdr:colOff>
      <xdr:row>4</xdr:row>
      <xdr:rowOff>34636</xdr:rowOff>
    </xdr:from>
    <xdr:ext cx="256160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FD93A9B9-ABB0-C216-79EC-8CB642B80443}"/>
            </a:ext>
          </a:extLst>
        </xdr:cNvPr>
        <xdr:cNvSpPr txBox="1"/>
      </xdr:nvSpPr>
      <xdr:spPr>
        <a:xfrm>
          <a:off x="10044545" y="755072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100"/>
            <a:t>1</a:t>
          </a:r>
        </a:p>
      </xdr:txBody>
    </xdr:sp>
    <xdr:clientData/>
  </xdr:oneCellAnchor>
  <xdr:twoCellAnchor editAs="oneCell">
    <xdr:from>
      <xdr:col>14</xdr:col>
      <xdr:colOff>6927</xdr:colOff>
      <xdr:row>21</xdr:row>
      <xdr:rowOff>115189</xdr:rowOff>
    </xdr:from>
    <xdr:to>
      <xdr:col>18</xdr:col>
      <xdr:colOff>395148</xdr:colOff>
      <xdr:row>25</xdr:row>
      <xdr:rowOff>32720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7" name="Рукописный ввод 26">
              <a:extLst>
                <a:ext uri="{FF2B5EF4-FFF2-40B4-BE49-F238E27FC236}">
                  <a16:creationId xmlns:a16="http://schemas.microsoft.com/office/drawing/2014/main" id="{D8413F6C-DEEF-71A0-11E2-67C46F6AD46A}"/>
                </a:ext>
              </a:extLst>
            </xdr14:cNvPr>
            <xdr14:cNvContentPartPr/>
          </xdr14:nvContentPartPr>
          <xdr14:nvPr macro=""/>
          <xdr14:xfrm>
            <a:off x="8541327" y="3897480"/>
            <a:ext cx="2826621" cy="637967"/>
          </xdr14:xfrm>
        </xdr:contentPart>
      </mc:Choice>
      <mc:Fallback>
        <xdr:pic>
          <xdr:nvPicPr>
            <xdr:cNvPr id="27" name="Рукописный ввод 26">
              <a:extLst>
                <a:ext uri="{FF2B5EF4-FFF2-40B4-BE49-F238E27FC236}">
                  <a16:creationId xmlns:a16="http://schemas.microsoft.com/office/drawing/2014/main" id="{D8413F6C-DEEF-71A0-11E2-67C46F6AD46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8535207" y="3891332"/>
              <a:ext cx="2838861" cy="65026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498600</xdr:colOff>
      <xdr:row>33</xdr:row>
      <xdr:rowOff>179869</xdr:rowOff>
    </xdr:from>
    <xdr:to>
      <xdr:col>15</xdr:col>
      <xdr:colOff>498960</xdr:colOff>
      <xdr:row>34</xdr:row>
      <xdr:rowOff>1030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28" name="Рукописный ввод 27">
              <a:extLst>
                <a:ext uri="{FF2B5EF4-FFF2-40B4-BE49-F238E27FC236}">
                  <a16:creationId xmlns:a16="http://schemas.microsoft.com/office/drawing/2014/main" id="{F4ADD643-E6ED-1038-1D93-5E512AB9F40E}"/>
                </a:ext>
              </a:extLst>
            </xdr14:cNvPr>
            <xdr14:cNvContentPartPr/>
          </xdr14:nvContentPartPr>
          <xdr14:nvPr macro=""/>
          <xdr14:xfrm>
            <a:off x="9642600" y="6123469"/>
            <a:ext cx="360" cy="360"/>
          </xdr14:xfrm>
        </xdr:contentPart>
      </mc:Choice>
      <mc:Fallback>
        <xdr:pic>
          <xdr:nvPicPr>
            <xdr:cNvPr id="28" name="Рукописный ввод 27">
              <a:extLst>
                <a:ext uri="{FF2B5EF4-FFF2-40B4-BE49-F238E27FC236}">
                  <a16:creationId xmlns:a16="http://schemas.microsoft.com/office/drawing/2014/main" id="{F4ADD643-E6ED-1038-1D93-5E512AB9F40E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636480" y="6117349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213115</xdr:colOff>
      <xdr:row>39</xdr:row>
      <xdr:rowOff>177126</xdr:rowOff>
    </xdr:from>
    <xdr:to>
      <xdr:col>18</xdr:col>
      <xdr:colOff>601336</xdr:colOff>
      <xdr:row>43</xdr:row>
      <xdr:rowOff>94658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29" name="Рукописный ввод 28">
              <a:extLst>
                <a:ext uri="{FF2B5EF4-FFF2-40B4-BE49-F238E27FC236}">
                  <a16:creationId xmlns:a16="http://schemas.microsoft.com/office/drawing/2014/main" id="{61134A99-00B4-4517-896F-BC93C992A57F}"/>
                </a:ext>
              </a:extLst>
            </xdr14:cNvPr>
            <xdr14:cNvContentPartPr/>
          </xdr14:nvContentPartPr>
          <xdr14:nvPr macro=""/>
          <xdr14:xfrm>
            <a:off x="8747515" y="7169597"/>
            <a:ext cx="2826621" cy="634708"/>
          </xdr14:xfrm>
        </xdr:contentPart>
      </mc:Choice>
      <mc:Fallback>
        <xdr:pic>
          <xdr:nvPicPr>
            <xdr:cNvPr id="29" name="Рукописный ввод 28">
              <a:extLst>
                <a:ext uri="{FF2B5EF4-FFF2-40B4-BE49-F238E27FC236}">
                  <a16:creationId xmlns:a16="http://schemas.microsoft.com/office/drawing/2014/main" id="{61134A99-00B4-4517-896F-BC93C992A57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8741395" y="7163480"/>
              <a:ext cx="2838861" cy="646942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1T15:31:52.1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7852 588 24575,'-651'-33'-1421,"191"4"-264,-737 19 859,816 12-768,96-1 973,-304 0-4003,197-2 5875,178-7-162,-359-60 1,138-15 5231,348 67-6147,-161-7-1,-90 23 377,151 3-427,-169-2 1798,-476-1-8720,549 0 7080,1-1 4316,273 2-4597,-20-2 0,27 1 0,1 0 0,0 0 0,-1-1 0,1 1 0,-1 0 0,1-1 0,0 1 0,0-1 0,-1 1 0,1-1 0,0 0 0,0 0 0,-1 1 0,1-1 0,0 0 0,-1-2 0,2 3 0,0 0 0,0-1 0,0 1 0,-1 0 0,1-1 0,0 1 0,0-1 0,0 1 0,0 0 0,0-1 0,0 1 0,0-1 0,1 1 0,-1 0 0,0-1 0,0 1 0,0-1 0,0 1 0,0 0 0,0-1 0,1 1 0,-1 0 0,0-1 0,0 1 0,1 0 0,-1-1 0,0 1 0,0 0 0,1 0 0,-1-1 0,0 1 0,1 0 0,-1 0 0,0 0 0,1-1 0,-1 1 0,0 0 0,1 0 0,-1 0 0,0 0 0,1 0 0,-1 0 0,1 0 0,22-7 0,-20 6 0,813-185-7093,-749 172 6974,-4 0 137,182-36 191,-2 22-349,-208 27-926</inkml:trace>
  <inkml:trace contextRef="#ctx0" brushRef="#br0" timeOffset="404.06">123 176 24575,'-1'0'0,"-1"0"0,1 0 0,0 0 0,-1 0 0,1 0 0,0 0 0,0 0 0,-1 1 0,1-1 0,0 1 0,0-1 0,0 1 0,-2 0 0,2 0 0,1 0 0,-1 0 0,1-1 0,0 1 0,-1 0 0,1 0 0,0-1 0,-1 1 0,1 0 0,0 0 0,0 0 0,0 0 0,0 0 0,0-1 0,0 1 0,0 0 0,0 0 0,0 0 0,0 0 0,0 0 0,0-1 0,1 1 0,-1 0 0,0 0 0,1 1 0,4 10 0,0 1 0,1-1 0,1 0 0,0 0 0,11 13 0,54 72-1050,4-3 1,4-3-1,152 132 0,312 190-3149,-196-191 4190,5-15 32,-260-154-3,35 22 153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1T15:31:53.3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24575,'0'0'-8191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1T15:45:46.5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7852 588 24575,'-651'-33'-1421,"191"4"-264,-737 19 859,816 12-768,96-1 973,-304 0-4003,197-2 5875,178-7-162,-359-60 1,138-15 5231,348 67-6147,-161-7-1,-90 23 377,151 3-427,-169-2 1798,-476-1-8720,549 0 7080,1-1 4316,273 2-4597,-20-2 0,27 1 0,1 0 0,0 0 0,-1-1 0,1 1 0,-1 0 0,1-1 0,0 1 0,0-1 0,-1 1 0,1-1 0,0 0 0,0 0 0,-1 1 0,1-1 0,0 0 0,-1-2 0,2 3 0,0 0 0,0-1 0,0 1 0,-1 0 0,1-1 0,0 1 0,0-1 0,0 1 0,0 0 0,0-1 0,0 1 0,0-1 0,1 1 0,-1 0 0,0-1 0,0 1 0,0-1 0,0 1 0,0 0 0,0-1 0,1 1 0,-1 0 0,0-1 0,0 1 0,1 0 0,-1-1 0,0 1 0,0 0 0,1 0 0,-1-1 0,0 1 0,1 0 0,-1 0 0,0 0 0,1-1 0,-1 1 0,0 0 0,1 0 0,-1 0 0,0 0 0,1 0 0,-1 0 0,1 0 0,22-7 0,-20 6 0,813-185-7093,-749 172 6974,-4 0 137,182-36 191,-2 22-349,-208 27-926</inkml:trace>
  <inkml:trace contextRef="#ctx0" brushRef="#br0" timeOffset="1">123 176 24575,'-1'0'0,"-1"0"0,1 0 0,0 0 0,-1 0 0,1 0 0,0 0 0,0 0 0,-1 1 0,1-1 0,0 1 0,0-1 0,0 1 0,-2 0 0,2 0 0,1 0 0,-1 0 0,1-1 0,0 1 0,-1 0 0,1 0 0,0-1 0,-1 1 0,1 0 0,0 0 0,0 0 0,0 0 0,0 0 0,0-1 0,0 1 0,0 0 0,0 0 0,0 0 0,0 0 0,0 0 0,0-1 0,1 1 0,-1 0 0,0 0 0,1 1 0,4 10 0,0 1 0,1-1 0,1 0 0,0 0 0,11 13 0,54 72-1050,4-3 1,4-3-1,152 132 0,312 190-3149,-196-191 4190,5-15 32,-260-154-3,35 22 153</inkml:trace>
</inkml: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E82C2-56D5-4948-8AA8-D1A77543546E}">
  <dimension ref="A1:Z48"/>
  <sheetViews>
    <sheetView tabSelected="1" topLeftCell="A19" zoomScale="85" zoomScaleNormal="85" workbookViewId="0">
      <selection activeCell="O36" sqref="O36"/>
    </sheetView>
  </sheetViews>
  <sheetFormatPr defaultRowHeight="14.4" x14ac:dyDescent="0.3"/>
  <sheetData>
    <row r="1" spans="1:26" x14ac:dyDescent="0.3">
      <c r="D1" t="s">
        <v>27</v>
      </c>
      <c r="E1" t="s">
        <v>28</v>
      </c>
      <c r="F1" t="s">
        <v>29</v>
      </c>
      <c r="G1" t="s">
        <v>30</v>
      </c>
    </row>
    <row r="2" spans="1:26" x14ac:dyDescent="0.3">
      <c r="B2" s="3" t="s">
        <v>8</v>
      </c>
      <c r="D2" s="1" t="s">
        <v>0</v>
      </c>
      <c r="E2" s="1" t="s">
        <v>1</v>
      </c>
      <c r="F2" s="1" t="s">
        <v>2</v>
      </c>
      <c r="G2" s="1" t="s">
        <v>3</v>
      </c>
      <c r="J2" s="3" t="s">
        <v>35</v>
      </c>
      <c r="K2" s="9" t="s">
        <v>36</v>
      </c>
      <c r="L2" s="10" t="s">
        <v>37</v>
      </c>
      <c r="M2" s="10"/>
      <c r="N2" s="10"/>
      <c r="O2" s="10"/>
    </row>
    <row r="3" spans="1:26" x14ac:dyDescent="0.3">
      <c r="D3" s="2">
        <v>70</v>
      </c>
      <c r="E3" s="2">
        <v>5</v>
      </c>
      <c r="F3" s="2">
        <v>45</v>
      </c>
      <c r="G3" s="2">
        <v>70</v>
      </c>
      <c r="H3">
        <f>SUM(D3:G3)</f>
        <v>190</v>
      </c>
    </row>
    <row r="4" spans="1:26" x14ac:dyDescent="0.3">
      <c r="A4" t="s">
        <v>31</v>
      </c>
      <c r="B4" s="1" t="s">
        <v>4</v>
      </c>
      <c r="C4" s="2">
        <v>60</v>
      </c>
      <c r="D4">
        <v>1</v>
      </c>
      <c r="E4">
        <v>2</v>
      </c>
      <c r="F4">
        <v>9</v>
      </c>
      <c r="G4">
        <v>7</v>
      </c>
      <c r="K4" s="1" t="s">
        <v>4</v>
      </c>
      <c r="M4" s="1" t="s">
        <v>5</v>
      </c>
      <c r="O4" s="1" t="s">
        <v>6</v>
      </c>
      <c r="Q4" s="1" t="s">
        <v>7</v>
      </c>
    </row>
    <row r="5" spans="1:26" x14ac:dyDescent="0.3">
      <c r="A5" t="s">
        <v>33</v>
      </c>
      <c r="B5" s="1" t="s">
        <v>5</v>
      </c>
      <c r="C5" s="2">
        <v>55</v>
      </c>
      <c r="D5">
        <v>3</v>
      </c>
      <c r="E5">
        <v>4</v>
      </c>
      <c r="F5">
        <v>1</v>
      </c>
      <c r="G5">
        <v>5</v>
      </c>
    </row>
    <row r="6" spans="1:26" x14ac:dyDescent="0.3">
      <c r="A6" t="s">
        <v>32</v>
      </c>
      <c r="B6" s="1" t="s">
        <v>6</v>
      </c>
      <c r="C6" s="2">
        <v>40</v>
      </c>
      <c r="D6">
        <v>6</v>
      </c>
      <c r="E6">
        <v>4</v>
      </c>
      <c r="F6">
        <v>8</v>
      </c>
      <c r="G6">
        <v>3</v>
      </c>
    </row>
    <row r="7" spans="1:26" x14ac:dyDescent="0.3">
      <c r="A7" t="s">
        <v>34</v>
      </c>
      <c r="B7" s="1" t="s">
        <v>7</v>
      </c>
      <c r="C7" s="2">
        <v>35</v>
      </c>
      <c r="D7">
        <v>2</v>
      </c>
      <c r="E7">
        <v>3</v>
      </c>
      <c r="F7">
        <v>3</v>
      </c>
      <c r="G7">
        <v>1</v>
      </c>
      <c r="K7" s="1" t="s">
        <v>0</v>
      </c>
      <c r="M7" s="1" t="s">
        <v>1</v>
      </c>
      <c r="O7" s="1" t="s">
        <v>2</v>
      </c>
      <c r="Q7" s="1" t="s">
        <v>3</v>
      </c>
    </row>
    <row r="8" spans="1:26" x14ac:dyDescent="0.3">
      <c r="C8">
        <f>SUM(C4:C7)</f>
        <v>190</v>
      </c>
    </row>
    <row r="9" spans="1:26" x14ac:dyDescent="0.3">
      <c r="L9" s="8" t="s">
        <v>11</v>
      </c>
      <c r="M9" s="8"/>
    </row>
    <row r="10" spans="1:26" x14ac:dyDescent="0.3">
      <c r="L10" t="s">
        <v>19</v>
      </c>
      <c r="M10">
        <v>0</v>
      </c>
      <c r="W10">
        <f>T13+W13</f>
        <v>1</v>
      </c>
      <c r="X10">
        <f>T14+X14</f>
        <v>2</v>
      </c>
      <c r="Y10">
        <f>T14+Y14</f>
        <v>-1</v>
      </c>
      <c r="Z10">
        <f>T15+Z15</f>
        <v>-6</v>
      </c>
    </row>
    <row r="11" spans="1:26" x14ac:dyDescent="0.3">
      <c r="B11" s="4" t="s">
        <v>9</v>
      </c>
      <c r="D11" s="1" t="s">
        <v>0</v>
      </c>
      <c r="E11" s="1" t="s">
        <v>1</v>
      </c>
      <c r="F11" s="1" t="s">
        <v>2</v>
      </c>
      <c r="G11" s="1" t="s">
        <v>3</v>
      </c>
      <c r="I11" s="8" t="s">
        <v>10</v>
      </c>
      <c r="J11" s="8"/>
      <c r="L11" t="s">
        <v>20</v>
      </c>
      <c r="M11">
        <v>0</v>
      </c>
      <c r="P11" t="s">
        <v>31</v>
      </c>
      <c r="R11">
        <v>0</v>
      </c>
      <c r="U11" s="11"/>
      <c r="W11" s="1" t="s">
        <v>0</v>
      </c>
      <c r="X11" s="1" t="s">
        <v>1</v>
      </c>
      <c r="Y11" s="1" t="s">
        <v>2</v>
      </c>
      <c r="Z11" s="1" t="s">
        <v>3</v>
      </c>
    </row>
    <row r="12" spans="1:26" x14ac:dyDescent="0.3">
      <c r="D12" s="2">
        <v>70</v>
      </c>
      <c r="E12" s="2">
        <v>5</v>
      </c>
      <c r="F12" s="2">
        <v>45</v>
      </c>
      <c r="G12" s="2">
        <v>70</v>
      </c>
      <c r="I12" t="s">
        <v>12</v>
      </c>
      <c r="J12">
        <f>D13</f>
        <v>60</v>
      </c>
      <c r="L12" t="s">
        <v>21</v>
      </c>
      <c r="M12">
        <v>0</v>
      </c>
      <c r="P12" t="s">
        <v>38</v>
      </c>
      <c r="Q12" t="s">
        <v>39</v>
      </c>
      <c r="R12">
        <v>1</v>
      </c>
      <c r="W12" s="2">
        <v>70</v>
      </c>
      <c r="X12" s="2">
        <v>5</v>
      </c>
      <c r="Y12" s="2">
        <v>45</v>
      </c>
      <c r="Z12" s="2">
        <v>70</v>
      </c>
    </row>
    <row r="13" spans="1:26" x14ac:dyDescent="0.3">
      <c r="B13" s="1" t="s">
        <v>4</v>
      </c>
      <c r="C13" s="2">
        <v>60</v>
      </c>
      <c r="D13" s="7">
        <v>60</v>
      </c>
      <c r="E13" s="5"/>
      <c r="F13" s="5"/>
      <c r="G13" s="5"/>
      <c r="I13" t="s">
        <v>13</v>
      </c>
      <c r="J13">
        <f>D14</f>
        <v>10</v>
      </c>
      <c r="L13" t="s">
        <v>56</v>
      </c>
      <c r="M13">
        <v>0</v>
      </c>
      <c r="P13" t="s">
        <v>43</v>
      </c>
      <c r="Q13" t="s">
        <v>44</v>
      </c>
      <c r="R13">
        <v>-2</v>
      </c>
      <c r="T13">
        <f>R11</f>
        <v>0</v>
      </c>
      <c r="U13" s="1" t="s">
        <v>4</v>
      </c>
      <c r="V13" s="2">
        <v>60</v>
      </c>
      <c r="W13" s="12">
        <v>1</v>
      </c>
      <c r="X13">
        <v>2</v>
      </c>
      <c r="Y13">
        <v>9</v>
      </c>
      <c r="Z13">
        <v>7</v>
      </c>
    </row>
    <row r="14" spans="1:26" x14ac:dyDescent="0.3">
      <c r="B14" s="1" t="s">
        <v>5</v>
      </c>
      <c r="C14" s="2">
        <v>55</v>
      </c>
      <c r="D14" s="7">
        <v>10</v>
      </c>
      <c r="E14" s="7">
        <v>5</v>
      </c>
      <c r="F14" s="7">
        <v>40</v>
      </c>
      <c r="G14" s="6"/>
      <c r="I14" t="s">
        <v>14</v>
      </c>
      <c r="J14">
        <f>E14</f>
        <v>5</v>
      </c>
      <c r="L14" t="s">
        <v>22</v>
      </c>
      <c r="M14">
        <v>0</v>
      </c>
      <c r="P14" t="s">
        <v>40</v>
      </c>
      <c r="Q14" t="s">
        <v>41</v>
      </c>
      <c r="R14">
        <v>2</v>
      </c>
      <c r="T14">
        <f>W10-W14</f>
        <v>-2</v>
      </c>
      <c r="U14" s="1" t="s">
        <v>5</v>
      </c>
      <c r="V14" s="2">
        <v>55</v>
      </c>
      <c r="W14" s="12">
        <v>3</v>
      </c>
      <c r="X14" s="12">
        <v>4</v>
      </c>
      <c r="Y14" s="12">
        <v>1</v>
      </c>
      <c r="Z14">
        <v>5</v>
      </c>
    </row>
    <row r="15" spans="1:26" x14ac:dyDescent="0.3">
      <c r="B15" s="1" t="s">
        <v>6</v>
      </c>
      <c r="C15" s="2">
        <v>40</v>
      </c>
      <c r="D15" s="6"/>
      <c r="E15" s="6"/>
      <c r="F15" s="7">
        <v>5</v>
      </c>
      <c r="G15" s="7">
        <v>35</v>
      </c>
      <c r="I15" t="s">
        <v>15</v>
      </c>
      <c r="J15">
        <f>F14</f>
        <v>40</v>
      </c>
      <c r="L15" t="s">
        <v>23</v>
      </c>
      <c r="M15">
        <v>0</v>
      </c>
      <c r="P15" t="s">
        <v>42</v>
      </c>
      <c r="Q15" t="s">
        <v>45</v>
      </c>
      <c r="R15">
        <v>-1</v>
      </c>
      <c r="T15">
        <f>Y10-Y15</f>
        <v>-9</v>
      </c>
      <c r="U15" s="1" t="s">
        <v>6</v>
      </c>
      <c r="V15" s="2">
        <v>40</v>
      </c>
      <c r="W15">
        <v>6</v>
      </c>
      <c r="X15" s="3">
        <v>4</v>
      </c>
      <c r="Y15" s="12">
        <v>8</v>
      </c>
      <c r="Z15" s="12">
        <v>3</v>
      </c>
    </row>
    <row r="16" spans="1:26" x14ac:dyDescent="0.3">
      <c r="B16" s="1" t="s">
        <v>7</v>
      </c>
      <c r="C16" s="2">
        <v>35</v>
      </c>
      <c r="D16" s="6"/>
      <c r="E16" s="6"/>
      <c r="F16" s="6"/>
      <c r="G16" s="7">
        <v>35</v>
      </c>
      <c r="I16" t="s">
        <v>16</v>
      </c>
      <c r="J16">
        <f>F15</f>
        <v>5</v>
      </c>
      <c r="L16" t="s">
        <v>24</v>
      </c>
      <c r="M16">
        <v>0</v>
      </c>
      <c r="P16" t="s">
        <v>47</v>
      </c>
      <c r="Q16" t="s">
        <v>46</v>
      </c>
      <c r="R16">
        <v>-9</v>
      </c>
      <c r="T16">
        <f>Z10-Z16</f>
        <v>-7</v>
      </c>
      <c r="U16" s="1" t="s">
        <v>7</v>
      </c>
      <c r="V16" s="2">
        <v>35</v>
      </c>
      <c r="W16">
        <v>2</v>
      </c>
      <c r="X16">
        <v>3</v>
      </c>
      <c r="Y16">
        <v>3</v>
      </c>
      <c r="Z16" s="12">
        <v>1</v>
      </c>
    </row>
    <row r="17" spans="2:26" x14ac:dyDescent="0.3">
      <c r="I17" t="s">
        <v>17</v>
      </c>
      <c r="J17">
        <f>G15</f>
        <v>35</v>
      </c>
      <c r="L17" t="s">
        <v>25</v>
      </c>
      <c r="M17">
        <v>0</v>
      </c>
      <c r="P17" t="s">
        <v>48</v>
      </c>
      <c r="Q17" t="s">
        <v>49</v>
      </c>
      <c r="R17">
        <v>-6</v>
      </c>
    </row>
    <row r="18" spans="2:26" x14ac:dyDescent="0.3">
      <c r="I18" t="s">
        <v>18</v>
      </c>
      <c r="J18">
        <f>G16</f>
        <v>35</v>
      </c>
      <c r="L18" t="s">
        <v>26</v>
      </c>
      <c r="M18">
        <v>0</v>
      </c>
      <c r="P18" t="s">
        <v>50</v>
      </c>
      <c r="Q18" t="s">
        <v>51</v>
      </c>
      <c r="R18">
        <v>-7</v>
      </c>
      <c r="U18" s="8" t="s">
        <v>52</v>
      </c>
      <c r="V18" s="8"/>
      <c r="W18" t="s">
        <v>54</v>
      </c>
      <c r="X18" t="s">
        <v>53</v>
      </c>
    </row>
    <row r="20" spans="2:26" x14ac:dyDescent="0.3">
      <c r="B20" s="4" t="s">
        <v>57</v>
      </c>
      <c r="D20" s="1" t="s">
        <v>0</v>
      </c>
      <c r="E20" s="1" t="s">
        <v>1</v>
      </c>
      <c r="F20" s="1" t="s">
        <v>2</v>
      </c>
      <c r="G20" s="1" t="s">
        <v>3</v>
      </c>
      <c r="I20" s="8" t="s">
        <v>10</v>
      </c>
      <c r="J20" s="8"/>
      <c r="L20" s="8" t="s">
        <v>11</v>
      </c>
      <c r="M20" s="8"/>
    </row>
    <row r="21" spans="2:26" x14ac:dyDescent="0.3">
      <c r="D21" s="2">
        <v>70</v>
      </c>
      <c r="E21" s="2">
        <v>5</v>
      </c>
      <c r="F21" s="2">
        <v>45</v>
      </c>
      <c r="G21" s="2">
        <v>70</v>
      </c>
      <c r="I21" t="s">
        <v>12</v>
      </c>
      <c r="J21">
        <f>D22</f>
        <v>60</v>
      </c>
      <c r="L21" t="s">
        <v>19</v>
      </c>
      <c r="M21">
        <v>0</v>
      </c>
      <c r="U21" s="11"/>
      <c r="W21" s="1" t="s">
        <v>0</v>
      </c>
      <c r="X21" s="1" t="s">
        <v>1</v>
      </c>
      <c r="Y21" s="1" t="s">
        <v>2</v>
      </c>
      <c r="Z21" s="1" t="s">
        <v>3</v>
      </c>
    </row>
    <row r="22" spans="2:26" x14ac:dyDescent="0.3">
      <c r="B22" s="1" t="s">
        <v>4</v>
      </c>
      <c r="C22" s="2">
        <v>60</v>
      </c>
      <c r="D22" s="7">
        <v>60</v>
      </c>
      <c r="E22" s="5"/>
      <c r="F22" s="5"/>
      <c r="G22" s="5"/>
      <c r="I22" t="s">
        <v>13</v>
      </c>
      <c r="J22">
        <f>D23</f>
        <v>10</v>
      </c>
      <c r="L22" t="s">
        <v>20</v>
      </c>
      <c r="M22">
        <v>0</v>
      </c>
      <c r="W22" s="2">
        <v>70</v>
      </c>
      <c r="X22" s="2">
        <v>5</v>
      </c>
      <c r="Y22" s="2">
        <v>45</v>
      </c>
      <c r="Z22" s="2">
        <v>70</v>
      </c>
    </row>
    <row r="23" spans="2:26" x14ac:dyDescent="0.3">
      <c r="B23" s="1" t="s">
        <v>5</v>
      </c>
      <c r="C23" s="2">
        <v>55</v>
      </c>
      <c r="D23" s="7">
        <v>10</v>
      </c>
      <c r="E23" s="4">
        <v>0</v>
      </c>
      <c r="F23" s="4">
        <v>45</v>
      </c>
      <c r="G23" s="6"/>
      <c r="I23" t="s">
        <v>14</v>
      </c>
      <c r="J23">
        <f>E23</f>
        <v>0</v>
      </c>
      <c r="L23" t="s">
        <v>21</v>
      </c>
      <c r="M23">
        <v>0</v>
      </c>
      <c r="U23" s="1" t="s">
        <v>4</v>
      </c>
      <c r="V23" s="2">
        <v>60</v>
      </c>
      <c r="W23" s="11">
        <f>W13-W10+$T$13</f>
        <v>0</v>
      </c>
      <c r="X23" s="11">
        <f t="shared" ref="X23:Z23" si="0">X13-X10+$T$13</f>
        <v>0</v>
      </c>
      <c r="Y23" s="11">
        <f t="shared" si="0"/>
        <v>10</v>
      </c>
      <c r="Z23" s="11">
        <f t="shared" si="0"/>
        <v>13</v>
      </c>
    </row>
    <row r="24" spans="2:26" x14ac:dyDescent="0.3">
      <c r="B24" s="1" t="s">
        <v>6</v>
      </c>
      <c r="C24" s="2">
        <v>40</v>
      </c>
      <c r="D24" s="6"/>
      <c r="E24" s="3">
        <v>5</v>
      </c>
      <c r="F24" s="15">
        <v>0</v>
      </c>
      <c r="G24" s="7">
        <v>35</v>
      </c>
      <c r="I24" t="s">
        <v>15</v>
      </c>
      <c r="J24">
        <f>F23</f>
        <v>45</v>
      </c>
      <c r="L24" t="s">
        <v>56</v>
      </c>
      <c r="M24">
        <v>0</v>
      </c>
      <c r="U24" s="1" t="s">
        <v>5</v>
      </c>
      <c r="V24" s="2">
        <v>55</v>
      </c>
      <c r="W24" s="11">
        <f>W14-W10+$T$14</f>
        <v>0</v>
      </c>
      <c r="X24" s="11">
        <f t="shared" ref="X24:Z24" si="1">X14-X10+$T$14</f>
        <v>0</v>
      </c>
      <c r="Y24" s="11">
        <f t="shared" si="1"/>
        <v>0</v>
      </c>
      <c r="Z24" s="11">
        <f t="shared" si="1"/>
        <v>9</v>
      </c>
    </row>
    <row r="25" spans="2:26" x14ac:dyDescent="0.3">
      <c r="B25" s="1" t="s">
        <v>7</v>
      </c>
      <c r="C25" s="2">
        <v>35</v>
      </c>
      <c r="D25" s="6"/>
      <c r="E25" s="6"/>
      <c r="F25" s="6"/>
      <c r="G25" s="7">
        <v>35</v>
      </c>
      <c r="I25" t="s">
        <v>23</v>
      </c>
      <c r="J25">
        <f>E24</f>
        <v>5</v>
      </c>
      <c r="L25" t="s">
        <v>22</v>
      </c>
      <c r="M25">
        <v>0</v>
      </c>
      <c r="U25" s="1" t="s">
        <v>6</v>
      </c>
      <c r="V25" s="2">
        <v>40</v>
      </c>
      <c r="W25" s="13">
        <f>W15-W10+$T$15</f>
        <v>-4</v>
      </c>
      <c r="X25" s="3">
        <f t="shared" ref="X25:Z25" si="2">X15-X10+$T$15</f>
        <v>-7</v>
      </c>
      <c r="Y25">
        <f t="shared" si="2"/>
        <v>0</v>
      </c>
      <c r="Z25">
        <f t="shared" si="2"/>
        <v>0</v>
      </c>
    </row>
    <row r="26" spans="2:26" x14ac:dyDescent="0.3">
      <c r="I26" t="s">
        <v>17</v>
      </c>
      <c r="J26">
        <f>G24</f>
        <v>35</v>
      </c>
      <c r="L26" t="s">
        <v>16</v>
      </c>
      <c r="M26">
        <v>0</v>
      </c>
      <c r="U26" s="1" t="s">
        <v>7</v>
      </c>
      <c r="V26" s="2">
        <v>35</v>
      </c>
      <c r="W26" s="13">
        <f>W16-W10+$T$16</f>
        <v>-6</v>
      </c>
      <c r="X26" s="13">
        <f t="shared" ref="X26:Z26" si="3">X16-X10+$T$16</f>
        <v>-6</v>
      </c>
      <c r="Y26" s="13">
        <f t="shared" si="3"/>
        <v>-3</v>
      </c>
      <c r="Z26">
        <f t="shared" si="3"/>
        <v>0</v>
      </c>
    </row>
    <row r="27" spans="2:26" x14ac:dyDescent="0.3">
      <c r="B27" s="14" t="s">
        <v>55</v>
      </c>
      <c r="C27" s="14"/>
      <c r="I27" t="s">
        <v>18</v>
      </c>
      <c r="J27">
        <f>G25</f>
        <v>35</v>
      </c>
      <c r="L27" t="s">
        <v>24</v>
      </c>
      <c r="M27">
        <v>0</v>
      </c>
    </row>
    <row r="28" spans="2:26" x14ac:dyDescent="0.3">
      <c r="L28" t="s">
        <v>25</v>
      </c>
      <c r="M28">
        <v>0</v>
      </c>
    </row>
    <row r="29" spans="2:26" x14ac:dyDescent="0.3">
      <c r="L29" t="s">
        <v>26</v>
      </c>
      <c r="M29">
        <v>0</v>
      </c>
    </row>
    <row r="31" spans="2:26" x14ac:dyDescent="0.3">
      <c r="W31">
        <f>T34+W34</f>
        <v>1</v>
      </c>
      <c r="X31">
        <f>T35+X35</f>
        <v>2</v>
      </c>
      <c r="Y31">
        <f>T35+Y35</f>
        <v>-1</v>
      </c>
      <c r="Z31">
        <f>T36+Z36</f>
        <v>1</v>
      </c>
    </row>
    <row r="32" spans="2:26" x14ac:dyDescent="0.3">
      <c r="U32" s="11"/>
      <c r="W32" s="1" t="s">
        <v>0</v>
      </c>
      <c r="X32" s="1" t="s">
        <v>1</v>
      </c>
      <c r="Y32" s="1" t="s">
        <v>2</v>
      </c>
      <c r="Z32" s="1" t="s">
        <v>3</v>
      </c>
    </row>
    <row r="33" spans="9:26" x14ac:dyDescent="0.3">
      <c r="W33" s="2">
        <v>70</v>
      </c>
      <c r="X33" s="2">
        <v>5</v>
      </c>
      <c r="Y33" s="2">
        <v>45</v>
      </c>
      <c r="Z33" s="2">
        <v>70</v>
      </c>
    </row>
    <row r="34" spans="9:26" x14ac:dyDescent="0.3">
      <c r="T34">
        <f>R32</f>
        <v>0</v>
      </c>
      <c r="U34" s="1" t="s">
        <v>4</v>
      </c>
      <c r="V34" s="2">
        <v>60</v>
      </c>
      <c r="W34" s="12">
        <v>1</v>
      </c>
      <c r="X34">
        <v>2</v>
      </c>
      <c r="Y34">
        <v>9</v>
      </c>
      <c r="Z34">
        <v>7</v>
      </c>
    </row>
    <row r="35" spans="9:26" x14ac:dyDescent="0.3">
      <c r="T35">
        <f>W31-W35</f>
        <v>-2</v>
      </c>
      <c r="U35" s="1" t="s">
        <v>5</v>
      </c>
      <c r="V35" s="2">
        <v>55</v>
      </c>
      <c r="W35" s="12">
        <v>3</v>
      </c>
      <c r="X35" s="12">
        <v>4</v>
      </c>
      <c r="Y35" s="12">
        <v>1</v>
      </c>
      <c r="Z35">
        <v>5</v>
      </c>
    </row>
    <row r="36" spans="9:26" x14ac:dyDescent="0.3">
      <c r="T36">
        <f>X31-X36</f>
        <v>-2</v>
      </c>
      <c r="U36" s="1" t="s">
        <v>6</v>
      </c>
      <c r="V36" s="2">
        <v>40</v>
      </c>
      <c r="W36">
        <v>6</v>
      </c>
      <c r="X36" s="12">
        <v>4</v>
      </c>
      <c r="Y36" s="11">
        <v>8</v>
      </c>
      <c r="Z36" s="12">
        <v>3</v>
      </c>
    </row>
    <row r="37" spans="9:26" x14ac:dyDescent="0.3">
      <c r="T37">
        <f>Z31-Z37</f>
        <v>0</v>
      </c>
      <c r="U37" s="1" t="s">
        <v>7</v>
      </c>
      <c r="V37" s="2">
        <v>35</v>
      </c>
      <c r="W37">
        <v>2</v>
      </c>
      <c r="X37">
        <v>3</v>
      </c>
      <c r="Y37">
        <v>3</v>
      </c>
      <c r="Z37" s="12">
        <v>1</v>
      </c>
    </row>
    <row r="38" spans="9:26" x14ac:dyDescent="0.3">
      <c r="I38" s="10" t="s">
        <v>59</v>
      </c>
      <c r="J38" s="10"/>
      <c r="K38" s="10"/>
      <c r="L38" s="10"/>
      <c r="M38" s="10"/>
    </row>
    <row r="40" spans="9:26" x14ac:dyDescent="0.3">
      <c r="I40" s="3" t="s">
        <v>58</v>
      </c>
      <c r="K40" s="1" t="s">
        <v>0</v>
      </c>
      <c r="L40" s="1" t="s">
        <v>1</v>
      </c>
      <c r="M40" s="1" t="s">
        <v>2</v>
      </c>
      <c r="N40" s="1" t="s">
        <v>3</v>
      </c>
      <c r="U40" s="11"/>
      <c r="W40" s="1" t="s">
        <v>0</v>
      </c>
      <c r="X40" s="1" t="s">
        <v>1</v>
      </c>
      <c r="Y40" s="1" t="s">
        <v>2</v>
      </c>
      <c r="Z40" s="1" t="s">
        <v>3</v>
      </c>
    </row>
    <row r="41" spans="9:26" x14ac:dyDescent="0.3">
      <c r="K41" s="2">
        <v>70</v>
      </c>
      <c r="L41" s="2">
        <v>5</v>
      </c>
      <c r="M41" s="2">
        <v>45</v>
      </c>
      <c r="N41" s="2">
        <v>70</v>
      </c>
      <c r="W41" s="2">
        <v>70</v>
      </c>
      <c r="X41" s="2">
        <v>5</v>
      </c>
      <c r="Y41" s="2">
        <v>45</v>
      </c>
      <c r="Z41" s="2">
        <v>70</v>
      </c>
    </row>
    <row r="42" spans="9:26" x14ac:dyDescent="0.3">
      <c r="I42" s="1" t="s">
        <v>4</v>
      </c>
      <c r="J42" s="2">
        <v>60</v>
      </c>
      <c r="K42" s="7">
        <v>60</v>
      </c>
      <c r="L42" s="5"/>
      <c r="M42" s="5"/>
      <c r="N42" s="5"/>
      <c r="U42" s="1" t="s">
        <v>4</v>
      </c>
      <c r="V42" s="2">
        <v>60</v>
      </c>
      <c r="W42" s="11">
        <f>W34-W31+$T$34</f>
        <v>0</v>
      </c>
      <c r="X42" s="11">
        <f t="shared" ref="X42:Z42" si="4">X34-X31+$T$34</f>
        <v>0</v>
      </c>
      <c r="Y42" s="11">
        <f t="shared" si="4"/>
        <v>10</v>
      </c>
      <c r="Z42" s="11">
        <f t="shared" si="4"/>
        <v>6</v>
      </c>
    </row>
    <row r="43" spans="9:26" x14ac:dyDescent="0.3">
      <c r="I43" s="1" t="s">
        <v>5</v>
      </c>
      <c r="J43" s="2">
        <v>55</v>
      </c>
      <c r="K43" s="7">
        <v>10</v>
      </c>
      <c r="L43" s="7">
        <v>0</v>
      </c>
      <c r="M43" s="7">
        <v>45</v>
      </c>
      <c r="N43" s="6"/>
      <c r="U43" s="1" t="s">
        <v>5</v>
      </c>
      <c r="V43" s="2">
        <v>55</v>
      </c>
      <c r="W43" s="11">
        <f>W35-W31+$T$35</f>
        <v>0</v>
      </c>
      <c r="X43" s="11">
        <f t="shared" ref="X43:Z43" si="5">X35-X31+$T$35</f>
        <v>0</v>
      </c>
      <c r="Y43" s="11">
        <f t="shared" si="5"/>
        <v>0</v>
      </c>
      <c r="Z43" s="11">
        <f t="shared" si="5"/>
        <v>2</v>
      </c>
    </row>
    <row r="44" spans="9:26" x14ac:dyDescent="0.3">
      <c r="I44" s="1" t="s">
        <v>6</v>
      </c>
      <c r="J44" s="2">
        <v>40</v>
      </c>
      <c r="K44" s="6"/>
      <c r="L44" s="7">
        <v>5</v>
      </c>
      <c r="M44" s="6"/>
      <c r="N44" s="7">
        <v>35</v>
      </c>
      <c r="U44" s="1" t="s">
        <v>6</v>
      </c>
      <c r="V44" s="2">
        <v>40</v>
      </c>
      <c r="W44" s="11">
        <f>W36-W31+$T$36</f>
        <v>3</v>
      </c>
      <c r="X44" s="11">
        <f t="shared" ref="X44:Z44" si="6">X36-X31+$T$36</f>
        <v>0</v>
      </c>
      <c r="Y44" s="11">
        <f t="shared" si="6"/>
        <v>7</v>
      </c>
      <c r="Z44" s="11">
        <f t="shared" si="6"/>
        <v>0</v>
      </c>
    </row>
    <row r="45" spans="9:26" x14ac:dyDescent="0.3">
      <c r="I45" s="1" t="s">
        <v>7</v>
      </c>
      <c r="J45" s="2">
        <v>35</v>
      </c>
      <c r="K45" s="6"/>
      <c r="L45" s="6"/>
      <c r="M45" s="6"/>
      <c r="N45" s="7">
        <v>35</v>
      </c>
      <c r="U45" s="1" t="s">
        <v>7</v>
      </c>
      <c r="V45" s="2">
        <v>35</v>
      </c>
      <c r="W45" s="11">
        <f>W37-W31+$T$37</f>
        <v>1</v>
      </c>
      <c r="X45" s="11">
        <f t="shared" ref="X45:Z45" si="7">X37-X31+$T$37</f>
        <v>1</v>
      </c>
      <c r="Y45" s="11">
        <f t="shared" si="7"/>
        <v>4</v>
      </c>
      <c r="Z45" s="11">
        <f t="shared" si="7"/>
        <v>0</v>
      </c>
    </row>
    <row r="48" spans="9:26" x14ac:dyDescent="0.3">
      <c r="I48" s="1" t="s">
        <v>60</v>
      </c>
      <c r="J48">
        <f>K42*W34+K43*W35+L44*X36+M43*Y35+N44*Z36+N45*Z37</f>
        <v>295</v>
      </c>
    </row>
  </sheetData>
  <mergeCells count="8">
    <mergeCell ref="I38:M38"/>
    <mergeCell ref="I11:J11"/>
    <mergeCell ref="L2:O2"/>
    <mergeCell ref="U18:V18"/>
    <mergeCell ref="B27:C27"/>
    <mergeCell ref="I20:J20"/>
    <mergeCell ref="L9:M9"/>
    <mergeCell ref="L20:M20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Aknas Macefg</dc:creator>
  <cp:lastModifiedBy>Aknas Macefg</cp:lastModifiedBy>
  <dcterms:created xsi:type="dcterms:W3CDTF">2025-12-11T14:38:32Z</dcterms:created>
  <dcterms:modified xsi:type="dcterms:W3CDTF">2025-12-11T15:50:28Z</dcterms:modified>
</cp:coreProperties>
</file>