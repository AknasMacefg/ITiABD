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lexm\Desktop\Рабочая папка\ITiABD\Курс 3\МиИМ\"/>
    </mc:Choice>
  </mc:AlternateContent>
  <xr:revisionPtr revIDLastSave="0" documentId="13_ncr:1_{BCE83C1D-79F1-432B-A80E-C7C37E4B3214}" xr6:coauthVersionLast="47" xr6:coauthVersionMax="47" xr10:uidLastSave="{00000000-0000-0000-0000-000000000000}"/>
  <bookViews>
    <workbookView xWindow="-108" yWindow="-108" windowWidth="23256" windowHeight="13896" activeTab="6" xr2:uid="{00000000-000D-0000-FFFF-FFFF00000000}"/>
  </bookViews>
  <sheets>
    <sheet name="Станд.норм.распр." sheetId="1" r:id="rId1"/>
    <sheet name="Задание" sheetId="2" r:id="rId2"/>
    <sheet name="1." sheetId="3" r:id="rId3"/>
    <sheet name="2." sheetId="4" r:id="rId4"/>
    <sheet name="3." sheetId="5" r:id="rId5"/>
    <sheet name="4." sheetId="6" r:id="rId6"/>
    <sheet name="5.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6" l="1"/>
  <c r="U4" i="6"/>
  <c r="U5" i="6" s="1"/>
  <c r="U3" i="6"/>
  <c r="F5" i="7"/>
  <c r="F4" i="7"/>
  <c r="G4" i="7"/>
  <c r="H4" i="7"/>
  <c r="I4" i="7"/>
  <c r="J4" i="7"/>
  <c r="K4" i="7"/>
  <c r="W4" i="7" s="1"/>
  <c r="L4" i="7"/>
  <c r="X4" i="7" s="1"/>
  <c r="M4" i="7"/>
  <c r="Y4" i="7" s="1"/>
  <c r="N4" i="7"/>
  <c r="O4" i="7"/>
  <c r="AA4" i="7" s="1"/>
  <c r="R5" i="7"/>
  <c r="G5" i="7"/>
  <c r="S5" i="7" s="1"/>
  <c r="H5" i="7"/>
  <c r="I5" i="7"/>
  <c r="J5" i="7"/>
  <c r="K5" i="7"/>
  <c r="L5" i="7"/>
  <c r="M5" i="7"/>
  <c r="Y5" i="7" s="1"/>
  <c r="N5" i="7"/>
  <c r="Z5" i="7" s="1"/>
  <c r="O5" i="7"/>
  <c r="AA5" i="7" s="1"/>
  <c r="F6" i="7"/>
  <c r="R6" i="7" s="1"/>
  <c r="G6" i="7"/>
  <c r="S6" i="7" s="1"/>
  <c r="H6" i="7"/>
  <c r="T6" i="7" s="1"/>
  <c r="I6" i="7"/>
  <c r="U6" i="7" s="1"/>
  <c r="J6" i="7"/>
  <c r="K6" i="7"/>
  <c r="L6" i="7"/>
  <c r="M6" i="7"/>
  <c r="N6" i="7"/>
  <c r="O6" i="7"/>
  <c r="AA6" i="7" s="1"/>
  <c r="F7" i="7"/>
  <c r="R7" i="7" s="1"/>
  <c r="G7" i="7"/>
  <c r="S7" i="7" s="1"/>
  <c r="H7" i="7"/>
  <c r="T7" i="7" s="1"/>
  <c r="I7" i="7"/>
  <c r="U7" i="7" s="1"/>
  <c r="J7" i="7"/>
  <c r="V7" i="7" s="1"/>
  <c r="K7" i="7"/>
  <c r="W7" i="7" s="1"/>
  <c r="L7" i="7"/>
  <c r="M7" i="7"/>
  <c r="N7" i="7"/>
  <c r="O7" i="7"/>
  <c r="F8" i="7"/>
  <c r="G8" i="7"/>
  <c r="S8" i="7" s="1"/>
  <c r="H8" i="7"/>
  <c r="T8" i="7" s="1"/>
  <c r="I8" i="7"/>
  <c r="U8" i="7" s="1"/>
  <c r="J8" i="7"/>
  <c r="V8" i="7" s="1"/>
  <c r="K8" i="7"/>
  <c r="W8" i="7" s="1"/>
  <c r="L8" i="7"/>
  <c r="X8" i="7" s="1"/>
  <c r="M8" i="7"/>
  <c r="Y8" i="7" s="1"/>
  <c r="N8" i="7"/>
  <c r="O8" i="7"/>
  <c r="F9" i="7"/>
  <c r="G9" i="7"/>
  <c r="H9" i="7"/>
  <c r="I9" i="7"/>
  <c r="J9" i="7"/>
  <c r="K9" i="7"/>
  <c r="W9" i="7" s="1"/>
  <c r="L9" i="7"/>
  <c r="X9" i="7" s="1"/>
  <c r="M9" i="7"/>
  <c r="Y9" i="7" s="1"/>
  <c r="N9" i="7"/>
  <c r="Z9" i="7" s="1"/>
  <c r="O9" i="7"/>
  <c r="AA9" i="7" s="1"/>
  <c r="F10" i="7"/>
  <c r="G10" i="7"/>
  <c r="H10" i="7"/>
  <c r="I10" i="7"/>
  <c r="J10" i="7"/>
  <c r="K10" i="7"/>
  <c r="L10" i="7"/>
  <c r="M10" i="7"/>
  <c r="Y10" i="7" s="1"/>
  <c r="N10" i="7"/>
  <c r="Z10" i="7" s="1"/>
  <c r="O10" i="7"/>
  <c r="AA10" i="7" s="1"/>
  <c r="F11" i="7"/>
  <c r="R11" i="7" s="1"/>
  <c r="G11" i="7"/>
  <c r="S11" i="7" s="1"/>
  <c r="H11" i="7"/>
  <c r="I11" i="7"/>
  <c r="J11" i="7"/>
  <c r="K11" i="7"/>
  <c r="L11" i="7"/>
  <c r="M11" i="7"/>
  <c r="N11" i="7"/>
  <c r="O11" i="7"/>
  <c r="F12" i="7"/>
  <c r="G12" i="7"/>
  <c r="H12" i="7"/>
  <c r="T12" i="7" s="1"/>
  <c r="I12" i="7"/>
  <c r="U12" i="7" s="1"/>
  <c r="J12" i="7"/>
  <c r="K12" i="7"/>
  <c r="L12" i="7"/>
  <c r="M12" i="7"/>
  <c r="N12" i="7"/>
  <c r="O12" i="7"/>
  <c r="F13" i="7"/>
  <c r="G13" i="7"/>
  <c r="H13" i="7"/>
  <c r="I13" i="7"/>
  <c r="J13" i="7"/>
  <c r="V13" i="7" s="1"/>
  <c r="K13" i="7"/>
  <c r="W13" i="7" s="1"/>
  <c r="L13" i="7"/>
  <c r="M13" i="7"/>
  <c r="N13" i="7"/>
  <c r="O13" i="7"/>
  <c r="F14" i="7"/>
  <c r="G14" i="7"/>
  <c r="H14" i="7"/>
  <c r="I14" i="7"/>
  <c r="J14" i="7"/>
  <c r="K14" i="7"/>
  <c r="L14" i="7"/>
  <c r="M14" i="7"/>
  <c r="Y14" i="7" s="1"/>
  <c r="N14" i="7"/>
  <c r="O14" i="7"/>
  <c r="F15" i="7"/>
  <c r="G15" i="7"/>
  <c r="H15" i="7"/>
  <c r="I15" i="7"/>
  <c r="J15" i="7"/>
  <c r="K15" i="7"/>
  <c r="L15" i="7"/>
  <c r="M15" i="7"/>
  <c r="N15" i="7"/>
  <c r="O15" i="7"/>
  <c r="F16" i="7"/>
  <c r="G16" i="7"/>
  <c r="H16" i="7"/>
  <c r="I16" i="7"/>
  <c r="J16" i="7"/>
  <c r="K16" i="7"/>
  <c r="L16" i="7"/>
  <c r="M16" i="7"/>
  <c r="N16" i="7"/>
  <c r="Z16" i="7" s="1"/>
  <c r="O16" i="7"/>
  <c r="AA16" i="7" s="1"/>
  <c r="F17" i="7"/>
  <c r="R17" i="7" s="1"/>
  <c r="G17" i="7"/>
  <c r="S17" i="7" s="1"/>
  <c r="H17" i="7"/>
  <c r="I17" i="7"/>
  <c r="J17" i="7"/>
  <c r="K17" i="7"/>
  <c r="L17" i="7"/>
  <c r="M17" i="7"/>
  <c r="Y17" i="7" s="1"/>
  <c r="N17" i="7"/>
  <c r="Z17" i="7" s="1"/>
  <c r="O17" i="7"/>
  <c r="AA17" i="7" s="1"/>
  <c r="F18" i="7"/>
  <c r="R18" i="7" s="1"/>
  <c r="G18" i="7"/>
  <c r="S18" i="7" s="1"/>
  <c r="H18" i="7"/>
  <c r="T18" i="7" s="1"/>
  <c r="I18" i="7"/>
  <c r="U18" i="7" s="1"/>
  <c r="J18" i="7"/>
  <c r="K18" i="7"/>
  <c r="L18" i="7"/>
  <c r="M18" i="7"/>
  <c r="N18" i="7"/>
  <c r="O18" i="7"/>
  <c r="AA18" i="7" s="1"/>
  <c r="F19" i="7"/>
  <c r="R19" i="7" s="1"/>
  <c r="G19" i="7"/>
  <c r="S19" i="7" s="1"/>
  <c r="H19" i="7"/>
  <c r="T19" i="7" s="1"/>
  <c r="I19" i="7"/>
  <c r="U19" i="7" s="1"/>
  <c r="J19" i="7"/>
  <c r="V19" i="7" s="1"/>
  <c r="K19" i="7"/>
  <c r="W19" i="7" s="1"/>
  <c r="L19" i="7"/>
  <c r="M19" i="7"/>
  <c r="N19" i="7"/>
  <c r="O19" i="7"/>
  <c r="F20" i="7"/>
  <c r="G20" i="7"/>
  <c r="S20" i="7" s="1"/>
  <c r="H20" i="7"/>
  <c r="T20" i="7" s="1"/>
  <c r="I20" i="7"/>
  <c r="U20" i="7" s="1"/>
  <c r="J20" i="7"/>
  <c r="V20" i="7" s="1"/>
  <c r="K20" i="7"/>
  <c r="W20" i="7" s="1"/>
  <c r="L20" i="7"/>
  <c r="X20" i="7" s="1"/>
  <c r="M20" i="7"/>
  <c r="Y20" i="7" s="1"/>
  <c r="N20" i="7"/>
  <c r="O20" i="7"/>
  <c r="F21" i="7"/>
  <c r="G21" i="7"/>
  <c r="H21" i="7"/>
  <c r="I21" i="7"/>
  <c r="U21" i="7" s="1"/>
  <c r="J21" i="7"/>
  <c r="V21" i="7" s="1"/>
  <c r="K21" i="7"/>
  <c r="W21" i="7" s="1"/>
  <c r="L21" i="7"/>
  <c r="X21" i="7" s="1"/>
  <c r="M21" i="7"/>
  <c r="Y21" i="7" s="1"/>
  <c r="N21" i="7"/>
  <c r="Z21" i="7" s="1"/>
  <c r="O21" i="7"/>
  <c r="AA21" i="7" s="1"/>
  <c r="F22" i="7"/>
  <c r="G22" i="7"/>
  <c r="H22" i="7"/>
  <c r="I22" i="7"/>
  <c r="J22" i="7"/>
  <c r="K22" i="7"/>
  <c r="W22" i="7" s="1"/>
  <c r="L22" i="7"/>
  <c r="X22" i="7" s="1"/>
  <c r="M22" i="7"/>
  <c r="Y22" i="7" s="1"/>
  <c r="N22" i="7"/>
  <c r="Z22" i="7" s="1"/>
  <c r="O22" i="7"/>
  <c r="AA22" i="7" s="1"/>
  <c r="F23" i="7"/>
  <c r="R23" i="7" s="1"/>
  <c r="G23" i="7"/>
  <c r="S23" i="7" s="1"/>
  <c r="H23" i="7"/>
  <c r="I23" i="7"/>
  <c r="J23" i="7"/>
  <c r="K23" i="7"/>
  <c r="L23" i="7"/>
  <c r="M23" i="7"/>
  <c r="Y23" i="7" s="1"/>
  <c r="N23" i="7"/>
  <c r="Z23" i="7" s="1"/>
  <c r="O23" i="7"/>
  <c r="AA23" i="7" s="1"/>
  <c r="F24" i="7"/>
  <c r="R24" i="7" s="1"/>
  <c r="G24" i="7"/>
  <c r="S24" i="7" s="1"/>
  <c r="H24" i="7"/>
  <c r="T24" i="7" s="1"/>
  <c r="I24" i="7"/>
  <c r="U24" i="7" s="1"/>
  <c r="J24" i="7"/>
  <c r="K24" i="7"/>
  <c r="L24" i="7"/>
  <c r="M24" i="7"/>
  <c r="N24" i="7"/>
  <c r="O24" i="7"/>
  <c r="AA24" i="7" s="1"/>
  <c r="F25" i="7"/>
  <c r="R25" i="7" s="1"/>
  <c r="G25" i="7"/>
  <c r="S25" i="7" s="1"/>
  <c r="H25" i="7"/>
  <c r="T25" i="7" s="1"/>
  <c r="I25" i="7"/>
  <c r="U25" i="7" s="1"/>
  <c r="J25" i="7"/>
  <c r="V25" i="7" s="1"/>
  <c r="K25" i="7"/>
  <c r="W25" i="7" s="1"/>
  <c r="L25" i="7"/>
  <c r="M25" i="7"/>
  <c r="N25" i="7"/>
  <c r="O25" i="7"/>
  <c r="F26" i="7"/>
  <c r="G26" i="7"/>
  <c r="H26" i="7"/>
  <c r="I26" i="7"/>
  <c r="J26" i="7"/>
  <c r="V26" i="7" s="1"/>
  <c r="K26" i="7"/>
  <c r="W26" i="7" s="1"/>
  <c r="L26" i="7"/>
  <c r="X26" i="7" s="1"/>
  <c r="M26" i="7"/>
  <c r="Y26" i="7" s="1"/>
  <c r="N26" i="7"/>
  <c r="O26" i="7"/>
  <c r="F27" i="7"/>
  <c r="G27" i="7"/>
  <c r="H27" i="7"/>
  <c r="I27" i="7"/>
  <c r="J27" i="7"/>
  <c r="K27" i="7"/>
  <c r="L27" i="7"/>
  <c r="X27" i="7" s="1"/>
  <c r="M27" i="7"/>
  <c r="Y27" i="7" s="1"/>
  <c r="N27" i="7"/>
  <c r="Z27" i="7" s="1"/>
  <c r="O27" i="7"/>
  <c r="AA27" i="7" s="1"/>
  <c r="F28" i="7"/>
  <c r="G28" i="7"/>
  <c r="H28" i="7"/>
  <c r="I28" i="7"/>
  <c r="J28" i="7"/>
  <c r="K28" i="7"/>
  <c r="L28" i="7"/>
  <c r="M28" i="7"/>
  <c r="N28" i="7"/>
  <c r="O28" i="7"/>
  <c r="F29" i="7"/>
  <c r="G29" i="7"/>
  <c r="S29" i="7" s="1"/>
  <c r="H29" i="7"/>
  <c r="I29" i="7"/>
  <c r="J29" i="7"/>
  <c r="K29" i="7"/>
  <c r="L29" i="7"/>
  <c r="M29" i="7"/>
  <c r="N29" i="7"/>
  <c r="O29" i="7"/>
  <c r="F30" i="7"/>
  <c r="G30" i="7"/>
  <c r="H30" i="7"/>
  <c r="I30" i="7"/>
  <c r="J30" i="7"/>
  <c r="K30" i="7"/>
  <c r="L30" i="7"/>
  <c r="M30" i="7"/>
  <c r="N30" i="7"/>
  <c r="O30" i="7"/>
  <c r="F31" i="7"/>
  <c r="G31" i="7"/>
  <c r="H31" i="7"/>
  <c r="I31" i="7"/>
  <c r="J31" i="7"/>
  <c r="K31" i="7"/>
  <c r="L31" i="7"/>
  <c r="M31" i="7"/>
  <c r="N31" i="7"/>
  <c r="O31" i="7"/>
  <c r="F32" i="7"/>
  <c r="G32" i="7"/>
  <c r="H32" i="7"/>
  <c r="I32" i="7"/>
  <c r="J32" i="7"/>
  <c r="K32" i="7"/>
  <c r="L32" i="7"/>
  <c r="M32" i="7"/>
  <c r="N32" i="7"/>
  <c r="O32" i="7"/>
  <c r="F33" i="7"/>
  <c r="G33" i="7"/>
  <c r="H33" i="7"/>
  <c r="I33" i="7"/>
  <c r="J33" i="7"/>
  <c r="K33" i="7"/>
  <c r="L33" i="7"/>
  <c r="X33" i="7" s="1"/>
  <c r="M33" i="7"/>
  <c r="Y33" i="7" s="1"/>
  <c r="N33" i="7"/>
  <c r="Z33" i="7" s="1"/>
  <c r="O33" i="7"/>
  <c r="AA33" i="7" s="1"/>
  <c r="F34" i="7"/>
  <c r="G34" i="7"/>
  <c r="H34" i="7"/>
  <c r="I34" i="7"/>
  <c r="J34" i="7"/>
  <c r="K34" i="7"/>
  <c r="W34" i="7" s="1"/>
  <c r="L34" i="7"/>
  <c r="X34" i="7" s="1"/>
  <c r="M34" i="7"/>
  <c r="Y34" i="7" s="1"/>
  <c r="N34" i="7"/>
  <c r="Z34" i="7" s="1"/>
  <c r="O34" i="7"/>
  <c r="AA34" i="7" s="1"/>
  <c r="F35" i="7"/>
  <c r="R35" i="7" s="1"/>
  <c r="G35" i="7"/>
  <c r="S35" i="7" s="1"/>
  <c r="H35" i="7"/>
  <c r="I35" i="7"/>
  <c r="J35" i="7"/>
  <c r="K35" i="7"/>
  <c r="L35" i="7"/>
  <c r="M35" i="7"/>
  <c r="Y35" i="7" s="1"/>
  <c r="N35" i="7"/>
  <c r="Z35" i="7" s="1"/>
  <c r="O35" i="7"/>
  <c r="AA35" i="7" s="1"/>
  <c r="F36" i="7"/>
  <c r="R36" i="7" s="1"/>
  <c r="G36" i="7"/>
  <c r="S36" i="7" s="1"/>
  <c r="H36" i="7"/>
  <c r="T36" i="7" s="1"/>
  <c r="I36" i="7"/>
  <c r="U36" i="7" s="1"/>
  <c r="J36" i="7"/>
  <c r="K36" i="7"/>
  <c r="L36" i="7"/>
  <c r="M36" i="7"/>
  <c r="N36" i="7"/>
  <c r="O36" i="7"/>
  <c r="AA36" i="7" s="1"/>
  <c r="F37" i="7"/>
  <c r="R37" i="7" s="1"/>
  <c r="G37" i="7"/>
  <c r="S37" i="7" s="1"/>
  <c r="H37" i="7"/>
  <c r="T37" i="7" s="1"/>
  <c r="I37" i="7"/>
  <c r="U37" i="7" s="1"/>
  <c r="J37" i="7"/>
  <c r="V37" i="7" s="1"/>
  <c r="K37" i="7"/>
  <c r="W37" i="7" s="1"/>
  <c r="L37" i="7"/>
  <c r="M37" i="7"/>
  <c r="N37" i="7"/>
  <c r="O37" i="7"/>
  <c r="F38" i="7"/>
  <c r="G38" i="7"/>
  <c r="H38" i="7"/>
  <c r="T38" i="7" s="1"/>
  <c r="I38" i="7"/>
  <c r="U38" i="7" s="1"/>
  <c r="J38" i="7"/>
  <c r="V38" i="7" s="1"/>
  <c r="K38" i="7"/>
  <c r="W38" i="7" s="1"/>
  <c r="L38" i="7"/>
  <c r="X38" i="7" s="1"/>
  <c r="M38" i="7"/>
  <c r="Y38" i="7" s="1"/>
  <c r="N38" i="7"/>
  <c r="O38" i="7"/>
  <c r="F39" i="7"/>
  <c r="G39" i="7"/>
  <c r="H39" i="7"/>
  <c r="I39" i="7"/>
  <c r="J39" i="7"/>
  <c r="K39" i="7"/>
  <c r="W39" i="7" s="1"/>
  <c r="L39" i="7"/>
  <c r="X39" i="7" s="1"/>
  <c r="M39" i="7"/>
  <c r="Y39" i="7" s="1"/>
  <c r="N39" i="7"/>
  <c r="Z39" i="7" s="1"/>
  <c r="O39" i="7"/>
  <c r="AA39" i="7" s="1"/>
  <c r="F40" i="7"/>
  <c r="G40" i="7"/>
  <c r="H40" i="7"/>
  <c r="I40" i="7"/>
  <c r="J40" i="7"/>
  <c r="K40" i="7"/>
  <c r="L40" i="7"/>
  <c r="M40" i="7"/>
  <c r="Y40" i="7" s="1"/>
  <c r="N40" i="7"/>
  <c r="Z40" i="7" s="1"/>
  <c r="O40" i="7"/>
  <c r="AA40" i="7" s="1"/>
  <c r="F41" i="7"/>
  <c r="R41" i="7" s="1"/>
  <c r="G41" i="7"/>
  <c r="S41" i="7" s="1"/>
  <c r="H41" i="7"/>
  <c r="I41" i="7"/>
  <c r="J41" i="7"/>
  <c r="K41" i="7"/>
  <c r="L41" i="7"/>
  <c r="M41" i="7"/>
  <c r="N41" i="7"/>
  <c r="O41" i="7"/>
  <c r="AA41" i="7" s="1"/>
  <c r="F42" i="7"/>
  <c r="R42" i="7" s="1"/>
  <c r="G42" i="7"/>
  <c r="S42" i="7" s="1"/>
  <c r="H42" i="7"/>
  <c r="T42" i="7" s="1"/>
  <c r="I42" i="7"/>
  <c r="U42" i="7" s="1"/>
  <c r="J42" i="7"/>
  <c r="K42" i="7"/>
  <c r="L42" i="7"/>
  <c r="M42" i="7"/>
  <c r="N42" i="7"/>
  <c r="O42" i="7"/>
  <c r="F43" i="7"/>
  <c r="G43" i="7"/>
  <c r="S43" i="7" s="1"/>
  <c r="H43" i="7"/>
  <c r="T43" i="7" s="1"/>
  <c r="I43" i="7"/>
  <c r="U43" i="7" s="1"/>
  <c r="J43" i="7"/>
  <c r="V43" i="7" s="1"/>
  <c r="K43" i="7"/>
  <c r="W43" i="7" s="1"/>
  <c r="L43" i="7"/>
  <c r="M43" i="7"/>
  <c r="N43" i="7"/>
  <c r="O43" i="7"/>
  <c r="F44" i="7"/>
  <c r="G44" i="7"/>
  <c r="H44" i="7"/>
  <c r="I44" i="7"/>
  <c r="J44" i="7"/>
  <c r="K44" i="7"/>
  <c r="L44" i="7"/>
  <c r="X44" i="7" s="1"/>
  <c r="M44" i="7"/>
  <c r="Y44" i="7" s="1"/>
  <c r="N44" i="7"/>
  <c r="O44" i="7"/>
  <c r="F45" i="7"/>
  <c r="G45" i="7"/>
  <c r="H45" i="7"/>
  <c r="I45" i="7"/>
  <c r="J45" i="7"/>
  <c r="K45" i="7"/>
  <c r="L45" i="7"/>
  <c r="M45" i="7"/>
  <c r="N45" i="7"/>
  <c r="O45" i="7"/>
  <c r="AA45" i="7" s="1"/>
  <c r="F46" i="7"/>
  <c r="G46" i="7"/>
  <c r="H46" i="7"/>
  <c r="I46" i="7"/>
  <c r="J46" i="7"/>
  <c r="K46" i="7"/>
  <c r="L46" i="7"/>
  <c r="M46" i="7"/>
  <c r="N46" i="7"/>
  <c r="O46" i="7"/>
  <c r="F47" i="7"/>
  <c r="R47" i="7" s="1"/>
  <c r="G47" i="7"/>
  <c r="S47" i="7" s="1"/>
  <c r="H47" i="7"/>
  <c r="I47" i="7"/>
  <c r="J47" i="7"/>
  <c r="K47" i="7"/>
  <c r="L47" i="7"/>
  <c r="M47" i="7"/>
  <c r="Y47" i="7" s="1"/>
  <c r="N47" i="7"/>
  <c r="Z47" i="7" s="1"/>
  <c r="O47" i="7"/>
  <c r="AA47" i="7" s="1"/>
  <c r="F48" i="7"/>
  <c r="R48" i="7" s="1"/>
  <c r="G48" i="7"/>
  <c r="S48" i="7" s="1"/>
  <c r="H48" i="7"/>
  <c r="T48" i="7" s="1"/>
  <c r="I48" i="7"/>
  <c r="U48" i="7" s="1"/>
  <c r="J48" i="7"/>
  <c r="K48" i="7"/>
  <c r="L48" i="7"/>
  <c r="M48" i="7"/>
  <c r="N48" i="7"/>
  <c r="O48" i="7"/>
  <c r="AA48" i="7" s="1"/>
  <c r="F49" i="7"/>
  <c r="R49" i="7" s="1"/>
  <c r="G49" i="7"/>
  <c r="S49" i="7" s="1"/>
  <c r="H49" i="7"/>
  <c r="T49" i="7" s="1"/>
  <c r="I49" i="7"/>
  <c r="U49" i="7" s="1"/>
  <c r="J49" i="7"/>
  <c r="V49" i="7" s="1"/>
  <c r="K49" i="7"/>
  <c r="W49" i="7" s="1"/>
  <c r="L49" i="7"/>
  <c r="M49" i="7"/>
  <c r="N49" i="7"/>
  <c r="O49" i="7"/>
  <c r="F50" i="7"/>
  <c r="G50" i="7"/>
  <c r="S50" i="7" s="1"/>
  <c r="H50" i="7"/>
  <c r="T50" i="7" s="1"/>
  <c r="I50" i="7"/>
  <c r="U50" i="7" s="1"/>
  <c r="J50" i="7"/>
  <c r="V50" i="7" s="1"/>
  <c r="K50" i="7"/>
  <c r="W50" i="7" s="1"/>
  <c r="L50" i="7"/>
  <c r="X50" i="7" s="1"/>
  <c r="M50" i="7"/>
  <c r="Y50" i="7" s="1"/>
  <c r="N50" i="7"/>
  <c r="O50" i="7"/>
  <c r="F51" i="7"/>
  <c r="G51" i="7"/>
  <c r="H51" i="7"/>
  <c r="I51" i="7"/>
  <c r="U51" i="7" s="1"/>
  <c r="J51" i="7"/>
  <c r="V51" i="7" s="1"/>
  <c r="K51" i="7"/>
  <c r="W51" i="7" s="1"/>
  <c r="L51" i="7"/>
  <c r="X51" i="7" s="1"/>
  <c r="M51" i="7"/>
  <c r="Y51" i="7" s="1"/>
  <c r="N51" i="7"/>
  <c r="Z51" i="7" s="1"/>
  <c r="O51" i="7"/>
  <c r="AA51" i="7" s="1"/>
  <c r="F52" i="7"/>
  <c r="G52" i="7"/>
  <c r="H52" i="7"/>
  <c r="I52" i="7"/>
  <c r="J52" i="7"/>
  <c r="K52" i="7"/>
  <c r="W52" i="7" s="1"/>
  <c r="L52" i="7"/>
  <c r="X52" i="7" s="1"/>
  <c r="M52" i="7"/>
  <c r="Y52" i="7" s="1"/>
  <c r="N52" i="7"/>
  <c r="Z52" i="7" s="1"/>
  <c r="O52" i="7"/>
  <c r="AA52" i="7" s="1"/>
  <c r="F53" i="7"/>
  <c r="R53" i="7" s="1"/>
  <c r="G53" i="7"/>
  <c r="S53" i="7" s="1"/>
  <c r="H53" i="7"/>
  <c r="I53" i="7"/>
  <c r="J53" i="7"/>
  <c r="K53" i="7"/>
  <c r="L53" i="7"/>
  <c r="M53" i="7"/>
  <c r="Y53" i="7" s="1"/>
  <c r="N53" i="7"/>
  <c r="Z53" i="7" s="1"/>
  <c r="O53" i="7"/>
  <c r="AA53" i="7" s="1"/>
  <c r="F54" i="7"/>
  <c r="R54" i="7" s="1"/>
  <c r="G54" i="7"/>
  <c r="S54" i="7" s="1"/>
  <c r="H54" i="7"/>
  <c r="T54" i="7" s="1"/>
  <c r="I54" i="7"/>
  <c r="U54" i="7" s="1"/>
  <c r="J54" i="7"/>
  <c r="K54" i="7"/>
  <c r="L54" i="7"/>
  <c r="M54" i="7"/>
  <c r="N54" i="7"/>
  <c r="O54" i="7"/>
  <c r="AA54" i="7" s="1"/>
  <c r="F55" i="7"/>
  <c r="R55" i="7" s="1"/>
  <c r="G55" i="7"/>
  <c r="S55" i="7" s="1"/>
  <c r="H55" i="7"/>
  <c r="T55" i="7" s="1"/>
  <c r="I55" i="7"/>
  <c r="U55" i="7" s="1"/>
  <c r="J55" i="7"/>
  <c r="V55" i="7" s="1"/>
  <c r="K55" i="7"/>
  <c r="W55" i="7" s="1"/>
  <c r="L55" i="7"/>
  <c r="M55" i="7"/>
  <c r="N55" i="7"/>
  <c r="O55" i="7"/>
  <c r="F56" i="7"/>
  <c r="G56" i="7"/>
  <c r="S56" i="7" s="1"/>
  <c r="H56" i="7"/>
  <c r="T56" i="7" s="1"/>
  <c r="I56" i="7"/>
  <c r="U56" i="7" s="1"/>
  <c r="J56" i="7"/>
  <c r="V56" i="7" s="1"/>
  <c r="K56" i="7"/>
  <c r="W56" i="7" s="1"/>
  <c r="L56" i="7"/>
  <c r="X56" i="7" s="1"/>
  <c r="M56" i="7"/>
  <c r="Y56" i="7" s="1"/>
  <c r="N56" i="7"/>
  <c r="O56" i="7"/>
  <c r="F57" i="7"/>
  <c r="G57" i="7"/>
  <c r="H57" i="7"/>
  <c r="I57" i="7"/>
  <c r="J57" i="7"/>
  <c r="V57" i="7" s="1"/>
  <c r="K57" i="7"/>
  <c r="W57" i="7" s="1"/>
  <c r="L57" i="7"/>
  <c r="X57" i="7" s="1"/>
  <c r="M57" i="7"/>
  <c r="Y57" i="7" s="1"/>
  <c r="N57" i="7"/>
  <c r="Z57" i="7" s="1"/>
  <c r="O57" i="7"/>
  <c r="AA57" i="7" s="1"/>
  <c r="F58" i="7"/>
  <c r="G58" i="7"/>
  <c r="H58" i="7"/>
  <c r="I58" i="7"/>
  <c r="J58" i="7"/>
  <c r="K58" i="7"/>
  <c r="L58" i="7"/>
  <c r="M58" i="7"/>
  <c r="Y58" i="7" s="1"/>
  <c r="N58" i="7"/>
  <c r="Z58" i="7" s="1"/>
  <c r="O58" i="7"/>
  <c r="AA58" i="7" s="1"/>
  <c r="F59" i="7"/>
  <c r="R59" i="7" s="1"/>
  <c r="G59" i="7"/>
  <c r="S59" i="7" s="1"/>
  <c r="H59" i="7"/>
  <c r="I59" i="7"/>
  <c r="J59" i="7"/>
  <c r="K59" i="7"/>
  <c r="L59" i="7"/>
  <c r="M59" i="7"/>
  <c r="N59" i="7"/>
  <c r="O59" i="7"/>
  <c r="AA59" i="7" s="1"/>
  <c r="F60" i="7"/>
  <c r="R60" i="7" s="1"/>
  <c r="G60" i="7"/>
  <c r="S60" i="7" s="1"/>
  <c r="H60" i="7"/>
  <c r="T60" i="7" s="1"/>
  <c r="I60" i="7"/>
  <c r="U60" i="7" s="1"/>
  <c r="J60" i="7"/>
  <c r="K60" i="7"/>
  <c r="L60" i="7"/>
  <c r="M60" i="7"/>
  <c r="N60" i="7"/>
  <c r="O60" i="7"/>
  <c r="F61" i="7"/>
  <c r="G61" i="7"/>
  <c r="S61" i="7" s="1"/>
  <c r="H61" i="7"/>
  <c r="T61" i="7" s="1"/>
  <c r="I61" i="7"/>
  <c r="U61" i="7" s="1"/>
  <c r="J61" i="7"/>
  <c r="V61" i="7" s="1"/>
  <c r="K61" i="7"/>
  <c r="W61" i="7" s="1"/>
  <c r="L61" i="7"/>
  <c r="M61" i="7"/>
  <c r="N61" i="7"/>
  <c r="O61" i="7"/>
  <c r="F62" i="7"/>
  <c r="G62" i="7"/>
  <c r="H62" i="7"/>
  <c r="I62" i="7"/>
  <c r="U62" i="7" s="1"/>
  <c r="J62" i="7"/>
  <c r="V62" i="7" s="1"/>
  <c r="K62" i="7"/>
  <c r="W62" i="7" s="1"/>
  <c r="L62" i="7"/>
  <c r="X62" i="7" s="1"/>
  <c r="M62" i="7"/>
  <c r="Y62" i="7" s="1"/>
  <c r="N62" i="7"/>
  <c r="O62" i="7"/>
  <c r="F63" i="7"/>
  <c r="G63" i="7"/>
  <c r="H63" i="7"/>
  <c r="I63" i="7"/>
  <c r="J63" i="7"/>
  <c r="K63" i="7"/>
  <c r="L63" i="7"/>
  <c r="X63" i="7" s="1"/>
  <c r="M63" i="7"/>
  <c r="Y63" i="7" s="1"/>
  <c r="N63" i="7"/>
  <c r="Z63" i="7" s="1"/>
  <c r="O63" i="7"/>
  <c r="AA63" i="7" s="1"/>
  <c r="F64" i="7"/>
  <c r="G64" i="7"/>
  <c r="H64" i="7"/>
  <c r="I64" i="7"/>
  <c r="J64" i="7"/>
  <c r="K64" i="7"/>
  <c r="L64" i="7"/>
  <c r="M64" i="7"/>
  <c r="N64" i="7"/>
  <c r="O64" i="7"/>
  <c r="F65" i="7"/>
  <c r="G65" i="7"/>
  <c r="H65" i="7"/>
  <c r="I65" i="7"/>
  <c r="J65" i="7"/>
  <c r="K65" i="7"/>
  <c r="L65" i="7"/>
  <c r="M65" i="7"/>
  <c r="N65" i="7"/>
  <c r="O65" i="7"/>
  <c r="F66" i="7"/>
  <c r="G66" i="7"/>
  <c r="H66" i="7"/>
  <c r="I66" i="7"/>
  <c r="J66" i="7"/>
  <c r="K66" i="7"/>
  <c r="L66" i="7"/>
  <c r="M66" i="7"/>
  <c r="N66" i="7"/>
  <c r="O66" i="7"/>
  <c r="F67" i="7"/>
  <c r="G67" i="7"/>
  <c r="H67" i="7"/>
  <c r="I67" i="7"/>
  <c r="J67" i="7"/>
  <c r="K67" i="7"/>
  <c r="L67" i="7"/>
  <c r="M67" i="7"/>
  <c r="N67" i="7"/>
  <c r="O67" i="7"/>
  <c r="F68" i="7"/>
  <c r="G68" i="7"/>
  <c r="H68" i="7"/>
  <c r="I68" i="7"/>
  <c r="J68" i="7"/>
  <c r="K68" i="7"/>
  <c r="L68" i="7"/>
  <c r="M68" i="7"/>
  <c r="N68" i="7"/>
  <c r="O68" i="7"/>
  <c r="F69" i="7"/>
  <c r="G69" i="7"/>
  <c r="H69" i="7"/>
  <c r="I69" i="7"/>
  <c r="J69" i="7"/>
  <c r="K69" i="7"/>
  <c r="L69" i="7"/>
  <c r="M69" i="7"/>
  <c r="N69" i="7"/>
  <c r="O69" i="7"/>
  <c r="F70" i="7"/>
  <c r="G70" i="7"/>
  <c r="H70" i="7"/>
  <c r="I70" i="7"/>
  <c r="J70" i="7"/>
  <c r="K70" i="7"/>
  <c r="L70" i="7"/>
  <c r="M70" i="7"/>
  <c r="N70" i="7"/>
  <c r="O70" i="7"/>
  <c r="F71" i="7"/>
  <c r="G71" i="7"/>
  <c r="H71" i="7"/>
  <c r="I71" i="7"/>
  <c r="J71" i="7"/>
  <c r="K71" i="7"/>
  <c r="L71" i="7"/>
  <c r="M71" i="7"/>
  <c r="N71" i="7"/>
  <c r="O71" i="7"/>
  <c r="F72" i="7"/>
  <c r="G72" i="7"/>
  <c r="H72" i="7"/>
  <c r="I72" i="7"/>
  <c r="J72" i="7"/>
  <c r="K72" i="7"/>
  <c r="L72" i="7"/>
  <c r="M72" i="7"/>
  <c r="N72" i="7"/>
  <c r="O72" i="7"/>
  <c r="F73" i="7"/>
  <c r="G73" i="7"/>
  <c r="H73" i="7"/>
  <c r="T73" i="7" s="1"/>
  <c r="I73" i="7"/>
  <c r="U73" i="7" s="1"/>
  <c r="J73" i="7"/>
  <c r="V73" i="7" s="1"/>
  <c r="K73" i="7"/>
  <c r="W73" i="7" s="1"/>
  <c r="L73" i="7"/>
  <c r="M73" i="7"/>
  <c r="N73" i="7"/>
  <c r="O73" i="7"/>
  <c r="F74" i="7"/>
  <c r="G74" i="7"/>
  <c r="S74" i="7" s="1"/>
  <c r="H74" i="7"/>
  <c r="T74" i="7" s="1"/>
  <c r="I74" i="7"/>
  <c r="U74" i="7" s="1"/>
  <c r="J74" i="7"/>
  <c r="V74" i="7" s="1"/>
  <c r="K74" i="7"/>
  <c r="W74" i="7" s="1"/>
  <c r="L74" i="7"/>
  <c r="X74" i="7" s="1"/>
  <c r="M74" i="7"/>
  <c r="Y74" i="7" s="1"/>
  <c r="N74" i="7"/>
  <c r="O74" i="7"/>
  <c r="F75" i="7"/>
  <c r="G75" i="7"/>
  <c r="H75" i="7"/>
  <c r="I75" i="7"/>
  <c r="U75" i="7" s="1"/>
  <c r="J75" i="7"/>
  <c r="V75" i="7" s="1"/>
  <c r="K75" i="7"/>
  <c r="W75" i="7" s="1"/>
  <c r="L75" i="7"/>
  <c r="X75" i="7" s="1"/>
  <c r="M75" i="7"/>
  <c r="Y75" i="7" s="1"/>
  <c r="N75" i="7"/>
  <c r="Z75" i="7" s="1"/>
  <c r="O75" i="7"/>
  <c r="AA75" i="7" s="1"/>
  <c r="F76" i="7"/>
  <c r="G76" i="7"/>
  <c r="H76" i="7"/>
  <c r="I76" i="7"/>
  <c r="J76" i="7"/>
  <c r="K76" i="7"/>
  <c r="L76" i="7"/>
  <c r="X76" i="7" s="1"/>
  <c r="M76" i="7"/>
  <c r="Y76" i="7" s="1"/>
  <c r="N76" i="7"/>
  <c r="Z76" i="7" s="1"/>
  <c r="O76" i="7"/>
  <c r="AA76" i="7" s="1"/>
  <c r="F77" i="7"/>
  <c r="R77" i="7" s="1"/>
  <c r="G77" i="7"/>
  <c r="S77" i="7" s="1"/>
  <c r="H77" i="7"/>
  <c r="I77" i="7"/>
  <c r="J77" i="7"/>
  <c r="K77" i="7"/>
  <c r="L77" i="7"/>
  <c r="M77" i="7"/>
  <c r="N77" i="7"/>
  <c r="Z77" i="7" s="1"/>
  <c r="O77" i="7"/>
  <c r="AA77" i="7" s="1"/>
  <c r="F78" i="7"/>
  <c r="R78" i="7" s="1"/>
  <c r="G78" i="7"/>
  <c r="S78" i="7" s="1"/>
  <c r="H78" i="7"/>
  <c r="T78" i="7" s="1"/>
  <c r="I78" i="7"/>
  <c r="U78" i="7" s="1"/>
  <c r="J78" i="7"/>
  <c r="K78" i="7"/>
  <c r="L78" i="7"/>
  <c r="M78" i="7"/>
  <c r="N78" i="7"/>
  <c r="O78" i="7"/>
  <c r="F79" i="7"/>
  <c r="R79" i="7" s="1"/>
  <c r="G79" i="7"/>
  <c r="S79" i="7" s="1"/>
  <c r="H79" i="7"/>
  <c r="T79" i="7" s="1"/>
  <c r="I79" i="7"/>
  <c r="U79" i="7" s="1"/>
  <c r="J79" i="7"/>
  <c r="V79" i="7" s="1"/>
  <c r="K79" i="7"/>
  <c r="W79" i="7" s="1"/>
  <c r="L79" i="7"/>
  <c r="M79" i="7"/>
  <c r="N79" i="7"/>
  <c r="O79" i="7"/>
  <c r="F80" i="7"/>
  <c r="G80" i="7"/>
  <c r="H80" i="7"/>
  <c r="T80" i="7" s="1"/>
  <c r="I80" i="7"/>
  <c r="U80" i="7" s="1"/>
  <c r="J80" i="7"/>
  <c r="V80" i="7" s="1"/>
  <c r="K80" i="7"/>
  <c r="W80" i="7" s="1"/>
  <c r="L80" i="7"/>
  <c r="X80" i="7" s="1"/>
  <c r="M80" i="7"/>
  <c r="Y80" i="7" s="1"/>
  <c r="N80" i="7"/>
  <c r="O80" i="7"/>
  <c r="F81" i="7"/>
  <c r="G81" i="7"/>
  <c r="H81" i="7"/>
  <c r="I81" i="7"/>
  <c r="J81" i="7"/>
  <c r="V81" i="7" s="1"/>
  <c r="K81" i="7"/>
  <c r="W81" i="7" s="1"/>
  <c r="L81" i="7"/>
  <c r="X81" i="7" s="1"/>
  <c r="M81" i="7"/>
  <c r="Y81" i="7" s="1"/>
  <c r="N81" i="7"/>
  <c r="Z81" i="7" s="1"/>
  <c r="O81" i="7"/>
  <c r="AA81" i="7" s="1"/>
  <c r="F82" i="7"/>
  <c r="G82" i="7"/>
  <c r="H82" i="7"/>
  <c r="I82" i="7"/>
  <c r="J82" i="7"/>
  <c r="K82" i="7"/>
  <c r="L82" i="7"/>
  <c r="X82" i="7" s="1"/>
  <c r="M82" i="7"/>
  <c r="Y82" i="7" s="1"/>
  <c r="N82" i="7"/>
  <c r="Z82" i="7" s="1"/>
  <c r="O82" i="7"/>
  <c r="AA82" i="7" s="1"/>
  <c r="F83" i="7"/>
  <c r="R83" i="7" s="1"/>
  <c r="G83" i="7"/>
  <c r="S83" i="7" s="1"/>
  <c r="H83" i="7"/>
  <c r="I83" i="7"/>
  <c r="J83" i="7"/>
  <c r="K83" i="7"/>
  <c r="L83" i="7"/>
  <c r="M83" i="7"/>
  <c r="N83" i="7"/>
  <c r="O83" i="7"/>
  <c r="F84" i="7"/>
  <c r="G84" i="7"/>
  <c r="S84" i="7" s="1"/>
  <c r="H84" i="7"/>
  <c r="T84" i="7" s="1"/>
  <c r="I84" i="7"/>
  <c r="U84" i="7" s="1"/>
  <c r="J84" i="7"/>
  <c r="K84" i="7"/>
  <c r="L84" i="7"/>
  <c r="M84" i="7"/>
  <c r="N84" i="7"/>
  <c r="O84" i="7"/>
  <c r="F85" i="7"/>
  <c r="G85" i="7"/>
  <c r="H85" i="7"/>
  <c r="I85" i="7"/>
  <c r="J85" i="7"/>
  <c r="K85" i="7"/>
  <c r="L85" i="7"/>
  <c r="M85" i="7"/>
  <c r="N85" i="7"/>
  <c r="O85" i="7"/>
  <c r="F86" i="7"/>
  <c r="G86" i="7"/>
  <c r="H86" i="7"/>
  <c r="I86" i="7"/>
  <c r="J86" i="7"/>
  <c r="K86" i="7"/>
  <c r="L86" i="7"/>
  <c r="M86" i="7"/>
  <c r="N86" i="7"/>
  <c r="O86" i="7"/>
  <c r="F87" i="7"/>
  <c r="G87" i="7"/>
  <c r="H87" i="7"/>
  <c r="I87" i="7"/>
  <c r="J87" i="7"/>
  <c r="K87" i="7"/>
  <c r="L87" i="7"/>
  <c r="M87" i="7"/>
  <c r="N87" i="7"/>
  <c r="O87" i="7"/>
  <c r="F88" i="7"/>
  <c r="G88" i="7"/>
  <c r="H88" i="7"/>
  <c r="I88" i="7"/>
  <c r="J88" i="7"/>
  <c r="K88" i="7"/>
  <c r="L88" i="7"/>
  <c r="M88" i="7"/>
  <c r="N88" i="7"/>
  <c r="O88" i="7"/>
  <c r="F89" i="7"/>
  <c r="G89" i="7"/>
  <c r="H89" i="7"/>
  <c r="I89" i="7"/>
  <c r="J89" i="7"/>
  <c r="K89" i="7"/>
  <c r="L89" i="7"/>
  <c r="M89" i="7"/>
  <c r="N89" i="7"/>
  <c r="O89" i="7"/>
  <c r="F90" i="7"/>
  <c r="G90" i="7"/>
  <c r="H90" i="7"/>
  <c r="I90" i="7"/>
  <c r="J90" i="7"/>
  <c r="K90" i="7"/>
  <c r="L90" i="7"/>
  <c r="M90" i="7"/>
  <c r="N90" i="7"/>
  <c r="O90" i="7"/>
  <c r="F91" i="7"/>
  <c r="G91" i="7"/>
  <c r="H91" i="7"/>
  <c r="T91" i="7" s="1"/>
  <c r="I91" i="7"/>
  <c r="U91" i="7" s="1"/>
  <c r="J91" i="7"/>
  <c r="V91" i="7" s="1"/>
  <c r="K91" i="7"/>
  <c r="W91" i="7" s="1"/>
  <c r="L91" i="7"/>
  <c r="M91" i="7"/>
  <c r="N91" i="7"/>
  <c r="O91" i="7"/>
  <c r="F92" i="7"/>
  <c r="G92" i="7"/>
  <c r="S92" i="7" s="1"/>
  <c r="H92" i="7"/>
  <c r="T92" i="7" s="1"/>
  <c r="I92" i="7"/>
  <c r="U92" i="7" s="1"/>
  <c r="J92" i="7"/>
  <c r="V92" i="7" s="1"/>
  <c r="K92" i="7"/>
  <c r="W92" i="7" s="1"/>
  <c r="L92" i="7"/>
  <c r="X92" i="7" s="1"/>
  <c r="M92" i="7"/>
  <c r="Y92" i="7" s="1"/>
  <c r="N92" i="7"/>
  <c r="O92" i="7"/>
  <c r="F93" i="7"/>
  <c r="G93" i="7"/>
  <c r="H93" i="7"/>
  <c r="I93" i="7"/>
  <c r="U93" i="7" s="1"/>
  <c r="J93" i="7"/>
  <c r="V93" i="7" s="1"/>
  <c r="K93" i="7"/>
  <c r="W93" i="7" s="1"/>
  <c r="L93" i="7"/>
  <c r="X93" i="7" s="1"/>
  <c r="M93" i="7"/>
  <c r="Y93" i="7" s="1"/>
  <c r="N93" i="7"/>
  <c r="Z93" i="7" s="1"/>
  <c r="O93" i="7"/>
  <c r="AA93" i="7" s="1"/>
  <c r="F94" i="7"/>
  <c r="G94" i="7"/>
  <c r="H94" i="7"/>
  <c r="I94" i="7"/>
  <c r="J94" i="7"/>
  <c r="K94" i="7"/>
  <c r="W94" i="7" s="1"/>
  <c r="L94" i="7"/>
  <c r="X94" i="7" s="1"/>
  <c r="M94" i="7"/>
  <c r="Y94" i="7" s="1"/>
  <c r="N94" i="7"/>
  <c r="Z94" i="7" s="1"/>
  <c r="O94" i="7"/>
  <c r="AA94" i="7" s="1"/>
  <c r="F95" i="7"/>
  <c r="R95" i="7" s="1"/>
  <c r="G95" i="7"/>
  <c r="S95" i="7" s="1"/>
  <c r="H95" i="7"/>
  <c r="I95" i="7"/>
  <c r="J95" i="7"/>
  <c r="K95" i="7"/>
  <c r="L95" i="7"/>
  <c r="M95" i="7"/>
  <c r="Y95" i="7" s="1"/>
  <c r="N95" i="7"/>
  <c r="Z95" i="7" s="1"/>
  <c r="O95" i="7"/>
  <c r="AA95" i="7" s="1"/>
  <c r="F96" i="7"/>
  <c r="R96" i="7" s="1"/>
  <c r="G96" i="7"/>
  <c r="S96" i="7" s="1"/>
  <c r="H96" i="7"/>
  <c r="T96" i="7" s="1"/>
  <c r="I96" i="7"/>
  <c r="U96" i="7" s="1"/>
  <c r="J96" i="7"/>
  <c r="K96" i="7"/>
  <c r="L96" i="7"/>
  <c r="M96" i="7"/>
  <c r="N96" i="7"/>
  <c r="O96" i="7"/>
  <c r="F97" i="7"/>
  <c r="R97" i="7" s="1"/>
  <c r="G97" i="7"/>
  <c r="S97" i="7" s="1"/>
  <c r="H97" i="7"/>
  <c r="T97" i="7" s="1"/>
  <c r="I97" i="7"/>
  <c r="U97" i="7" s="1"/>
  <c r="J97" i="7"/>
  <c r="V97" i="7" s="1"/>
  <c r="K97" i="7"/>
  <c r="W97" i="7" s="1"/>
  <c r="L97" i="7"/>
  <c r="M97" i="7"/>
  <c r="N97" i="7"/>
  <c r="O97" i="7"/>
  <c r="F98" i="7"/>
  <c r="G98" i="7"/>
  <c r="H98" i="7"/>
  <c r="T98" i="7" s="1"/>
  <c r="I98" i="7"/>
  <c r="U98" i="7" s="1"/>
  <c r="J98" i="7"/>
  <c r="V98" i="7" s="1"/>
  <c r="K98" i="7"/>
  <c r="W98" i="7" s="1"/>
  <c r="L98" i="7"/>
  <c r="X98" i="7" s="1"/>
  <c r="M98" i="7"/>
  <c r="Y98" i="7" s="1"/>
  <c r="N98" i="7"/>
  <c r="O98" i="7"/>
  <c r="F99" i="7"/>
  <c r="G99" i="7"/>
  <c r="H99" i="7"/>
  <c r="I99" i="7"/>
  <c r="J99" i="7"/>
  <c r="V99" i="7" s="1"/>
  <c r="K99" i="7"/>
  <c r="W99" i="7" s="1"/>
  <c r="L99" i="7"/>
  <c r="X99" i="7" s="1"/>
  <c r="M99" i="7"/>
  <c r="Y99" i="7" s="1"/>
  <c r="N99" i="7"/>
  <c r="Z99" i="7" s="1"/>
  <c r="O99" i="7"/>
  <c r="AA99" i="7" s="1"/>
  <c r="F100" i="7"/>
  <c r="G100" i="7"/>
  <c r="H100" i="7"/>
  <c r="I100" i="7"/>
  <c r="J100" i="7"/>
  <c r="K100" i="7"/>
  <c r="L100" i="7"/>
  <c r="X100" i="7" s="1"/>
  <c r="M100" i="7"/>
  <c r="Y100" i="7" s="1"/>
  <c r="N100" i="7"/>
  <c r="Z100" i="7" s="1"/>
  <c r="O100" i="7"/>
  <c r="AA100" i="7" s="1"/>
  <c r="F101" i="7"/>
  <c r="R101" i="7" s="1"/>
  <c r="G101" i="7"/>
  <c r="S101" i="7" s="1"/>
  <c r="H101" i="7"/>
  <c r="I101" i="7"/>
  <c r="J101" i="7"/>
  <c r="K101" i="7"/>
  <c r="L101" i="7"/>
  <c r="M101" i="7"/>
  <c r="N101" i="7"/>
  <c r="Z101" i="7" s="1"/>
  <c r="O101" i="7"/>
  <c r="AA101" i="7" s="1"/>
  <c r="F102" i="7"/>
  <c r="R102" i="7" s="1"/>
  <c r="G102" i="7"/>
  <c r="S102" i="7" s="1"/>
  <c r="H102" i="7"/>
  <c r="T102" i="7" s="1"/>
  <c r="I102" i="7"/>
  <c r="U102" i="7" s="1"/>
  <c r="J102" i="7"/>
  <c r="K102" i="7"/>
  <c r="L102" i="7"/>
  <c r="M102" i="7"/>
  <c r="N102" i="7"/>
  <c r="O102" i="7"/>
  <c r="G3" i="7"/>
  <c r="H3" i="7"/>
  <c r="I3" i="7"/>
  <c r="J3" i="7"/>
  <c r="K3" i="7"/>
  <c r="L3" i="7"/>
  <c r="M3" i="7"/>
  <c r="Y3" i="7" s="1"/>
  <c r="N3" i="7"/>
  <c r="O3" i="7"/>
  <c r="AA3" i="7" s="1"/>
  <c r="F3" i="7"/>
  <c r="R3" i="7" s="1"/>
  <c r="H3" i="6"/>
  <c r="H4" i="5"/>
  <c r="H2" i="3"/>
  <c r="H2" i="2"/>
  <c r="I3" i="6"/>
  <c r="J3" i="6"/>
  <c r="K3" i="6"/>
  <c r="L3" i="6"/>
  <c r="M3" i="6"/>
  <c r="N3" i="6"/>
  <c r="O3" i="6"/>
  <c r="P3" i="6"/>
  <c r="Q3" i="6"/>
  <c r="V4" i="6"/>
  <c r="W4" i="6"/>
  <c r="X4" i="6"/>
  <c r="K4" i="6" s="1"/>
  <c r="Y4" i="6"/>
  <c r="L4" i="6" s="1"/>
  <c r="Z4" i="6"/>
  <c r="M4" i="6" s="1"/>
  <c r="AA4" i="6"/>
  <c r="N4" i="6" s="1"/>
  <c r="AB4" i="6"/>
  <c r="AB5" i="6" s="1"/>
  <c r="AC4" i="6"/>
  <c r="P4" i="6" s="1"/>
  <c r="AD4" i="6"/>
  <c r="AD5" i="6" s="1"/>
  <c r="AD6" i="6" s="1"/>
  <c r="AD7" i="6" s="1"/>
  <c r="Q7" i="6" s="1"/>
  <c r="V3" i="6"/>
  <c r="W3" i="6"/>
  <c r="X3" i="6"/>
  <c r="Y3" i="6"/>
  <c r="Z3" i="6"/>
  <c r="AA3" i="6"/>
  <c r="AB3" i="6"/>
  <c r="AC3" i="6"/>
  <c r="AD3" i="6"/>
  <c r="V14" i="7"/>
  <c r="X15" i="7"/>
  <c r="U30" i="7"/>
  <c r="V44" i="7"/>
  <c r="W44" i="7"/>
  <c r="AA46" i="7"/>
  <c r="Z64" i="7"/>
  <c r="U85" i="7"/>
  <c r="V85" i="7"/>
  <c r="W85" i="7"/>
  <c r="R4" i="7"/>
  <c r="S4" i="7"/>
  <c r="T4" i="7"/>
  <c r="U4" i="7"/>
  <c r="V4" i="7"/>
  <c r="T5" i="7"/>
  <c r="U5" i="7"/>
  <c r="V5" i="7"/>
  <c r="W5" i="7"/>
  <c r="X5" i="7"/>
  <c r="V6" i="7"/>
  <c r="W6" i="7"/>
  <c r="X6" i="7"/>
  <c r="Y6" i="7"/>
  <c r="Z6" i="7"/>
  <c r="X7" i="7"/>
  <c r="Y7" i="7"/>
  <c r="Z7" i="7"/>
  <c r="AA7" i="7"/>
  <c r="R8" i="7"/>
  <c r="Z8" i="7"/>
  <c r="AA8" i="7"/>
  <c r="R9" i="7"/>
  <c r="S9" i="7"/>
  <c r="T9" i="7"/>
  <c r="U9" i="7"/>
  <c r="V9" i="7"/>
  <c r="R10" i="7"/>
  <c r="S10" i="7"/>
  <c r="T10" i="7"/>
  <c r="U10" i="7"/>
  <c r="V10" i="7"/>
  <c r="W10" i="7"/>
  <c r="X10" i="7"/>
  <c r="T11" i="7"/>
  <c r="U11" i="7"/>
  <c r="V11" i="7"/>
  <c r="W11" i="7"/>
  <c r="X11" i="7"/>
  <c r="Y11" i="7"/>
  <c r="Z11" i="7"/>
  <c r="AA11" i="7"/>
  <c r="R12" i="7"/>
  <c r="S12" i="7"/>
  <c r="V12" i="7"/>
  <c r="W12" i="7"/>
  <c r="X12" i="7"/>
  <c r="Y12" i="7"/>
  <c r="Z12" i="7"/>
  <c r="AA12" i="7"/>
  <c r="R13" i="7"/>
  <c r="S13" i="7"/>
  <c r="T13" i="7"/>
  <c r="U13" i="7"/>
  <c r="X13" i="7"/>
  <c r="Y13" i="7"/>
  <c r="Z13" i="7"/>
  <c r="AA13" i="7"/>
  <c r="R14" i="7"/>
  <c r="S14" i="7"/>
  <c r="T14" i="7"/>
  <c r="U14" i="7"/>
  <c r="W14" i="7"/>
  <c r="X14" i="7"/>
  <c r="Z14" i="7"/>
  <c r="AA14" i="7"/>
  <c r="R15" i="7"/>
  <c r="S15" i="7"/>
  <c r="T15" i="7"/>
  <c r="U15" i="7"/>
  <c r="V15" i="7"/>
  <c r="W15" i="7"/>
  <c r="Y15" i="7"/>
  <c r="Z15" i="7"/>
  <c r="AA15" i="7"/>
  <c r="R16" i="7"/>
  <c r="S16" i="7"/>
  <c r="T16" i="7"/>
  <c r="U16" i="7"/>
  <c r="V16" i="7"/>
  <c r="W16" i="7"/>
  <c r="X16" i="7"/>
  <c r="Y16" i="7"/>
  <c r="T17" i="7"/>
  <c r="U17" i="7"/>
  <c r="V17" i="7"/>
  <c r="W17" i="7"/>
  <c r="X17" i="7"/>
  <c r="V18" i="7"/>
  <c r="W18" i="7"/>
  <c r="X18" i="7"/>
  <c r="Y18" i="7"/>
  <c r="Z18" i="7"/>
  <c r="X19" i="7"/>
  <c r="Y19" i="7"/>
  <c r="Z19" i="7"/>
  <c r="AA19" i="7"/>
  <c r="R20" i="7"/>
  <c r="Z20" i="7"/>
  <c r="AA20" i="7"/>
  <c r="R21" i="7"/>
  <c r="S21" i="7"/>
  <c r="T21" i="7"/>
  <c r="R22" i="7"/>
  <c r="S22" i="7"/>
  <c r="T22" i="7"/>
  <c r="U22" i="7"/>
  <c r="V22" i="7"/>
  <c r="T23" i="7"/>
  <c r="U23" i="7"/>
  <c r="V23" i="7"/>
  <c r="W23" i="7"/>
  <c r="X23" i="7"/>
  <c r="V24" i="7"/>
  <c r="W24" i="7"/>
  <c r="X24" i="7"/>
  <c r="Y24" i="7"/>
  <c r="Z24" i="7"/>
  <c r="X25" i="7"/>
  <c r="Y25" i="7"/>
  <c r="Z25" i="7"/>
  <c r="AA25" i="7"/>
  <c r="R26" i="7"/>
  <c r="S26" i="7"/>
  <c r="T26" i="7"/>
  <c r="U26" i="7"/>
  <c r="Z26" i="7"/>
  <c r="AA26" i="7"/>
  <c r="R27" i="7"/>
  <c r="S27" i="7"/>
  <c r="T27" i="7"/>
  <c r="U27" i="7"/>
  <c r="V27" i="7"/>
  <c r="W27" i="7"/>
  <c r="R28" i="7"/>
  <c r="S28" i="7"/>
  <c r="T28" i="7"/>
  <c r="U28" i="7"/>
  <c r="V28" i="7"/>
  <c r="W28" i="7"/>
  <c r="X28" i="7"/>
  <c r="Y28" i="7"/>
  <c r="Z28" i="7"/>
  <c r="AA28" i="7"/>
  <c r="R29" i="7"/>
  <c r="T29" i="7"/>
  <c r="U29" i="7"/>
  <c r="V29" i="7"/>
  <c r="W29" i="7"/>
  <c r="X29" i="7"/>
  <c r="Y29" i="7"/>
  <c r="Z29" i="7"/>
  <c r="AA29" i="7"/>
  <c r="R30" i="7"/>
  <c r="S30" i="7"/>
  <c r="T30" i="7"/>
  <c r="V30" i="7"/>
  <c r="W30" i="7"/>
  <c r="X30" i="7"/>
  <c r="Y30" i="7"/>
  <c r="Z30" i="7"/>
  <c r="AA30" i="7"/>
  <c r="R31" i="7"/>
  <c r="S31" i="7"/>
  <c r="T31" i="7"/>
  <c r="U31" i="7"/>
  <c r="V31" i="7"/>
  <c r="W31" i="7"/>
  <c r="X31" i="7"/>
  <c r="Y31" i="7"/>
  <c r="Z31" i="7"/>
  <c r="AA31" i="7"/>
  <c r="R32" i="7"/>
  <c r="S32" i="7"/>
  <c r="T32" i="7"/>
  <c r="U32" i="7"/>
  <c r="V32" i="7"/>
  <c r="W32" i="7"/>
  <c r="X32" i="7"/>
  <c r="Y32" i="7"/>
  <c r="Z32" i="7"/>
  <c r="AA32" i="7"/>
  <c r="R33" i="7"/>
  <c r="S33" i="7"/>
  <c r="T33" i="7"/>
  <c r="U33" i="7"/>
  <c r="V33" i="7"/>
  <c r="W33" i="7"/>
  <c r="R34" i="7"/>
  <c r="S34" i="7"/>
  <c r="T34" i="7"/>
  <c r="U34" i="7"/>
  <c r="V34" i="7"/>
  <c r="T35" i="7"/>
  <c r="U35" i="7"/>
  <c r="V35" i="7"/>
  <c r="W35" i="7"/>
  <c r="X35" i="7"/>
  <c r="V36" i="7"/>
  <c r="W36" i="7"/>
  <c r="X36" i="7"/>
  <c r="Y36" i="7"/>
  <c r="Z36" i="7"/>
  <c r="X37" i="7"/>
  <c r="Y37" i="7"/>
  <c r="Z37" i="7"/>
  <c r="AA37" i="7"/>
  <c r="R38" i="7"/>
  <c r="S38" i="7"/>
  <c r="Z38" i="7"/>
  <c r="AA38" i="7"/>
  <c r="R39" i="7"/>
  <c r="S39" i="7"/>
  <c r="T39" i="7"/>
  <c r="U39" i="7"/>
  <c r="V39" i="7"/>
  <c r="R40" i="7"/>
  <c r="S40" i="7"/>
  <c r="T40" i="7"/>
  <c r="U40" i="7"/>
  <c r="V40" i="7"/>
  <c r="W40" i="7"/>
  <c r="X40" i="7"/>
  <c r="T41" i="7"/>
  <c r="U41" i="7"/>
  <c r="V41" i="7"/>
  <c r="W41" i="7"/>
  <c r="X41" i="7"/>
  <c r="Y41" i="7"/>
  <c r="Z41" i="7"/>
  <c r="V42" i="7"/>
  <c r="W42" i="7"/>
  <c r="X42" i="7"/>
  <c r="Y42" i="7"/>
  <c r="Z42" i="7"/>
  <c r="AA42" i="7"/>
  <c r="R43" i="7"/>
  <c r="X43" i="7"/>
  <c r="Y43" i="7"/>
  <c r="Z43" i="7"/>
  <c r="AA43" i="7"/>
  <c r="R44" i="7"/>
  <c r="S44" i="7"/>
  <c r="T44" i="7"/>
  <c r="U44" i="7"/>
  <c r="Z44" i="7"/>
  <c r="AA44" i="7"/>
  <c r="R45" i="7"/>
  <c r="S45" i="7"/>
  <c r="T45" i="7"/>
  <c r="U45" i="7"/>
  <c r="V45" i="7"/>
  <c r="W45" i="7"/>
  <c r="X45" i="7"/>
  <c r="Y45" i="7"/>
  <c r="Z45" i="7"/>
  <c r="R46" i="7"/>
  <c r="S46" i="7"/>
  <c r="T46" i="7"/>
  <c r="U46" i="7"/>
  <c r="V46" i="7"/>
  <c r="W46" i="7"/>
  <c r="X46" i="7"/>
  <c r="Y46" i="7"/>
  <c r="Z46" i="7"/>
  <c r="T47" i="7"/>
  <c r="U47" i="7"/>
  <c r="V47" i="7"/>
  <c r="W47" i="7"/>
  <c r="X47" i="7"/>
  <c r="V48" i="7"/>
  <c r="W48" i="7"/>
  <c r="X48" i="7"/>
  <c r="Y48" i="7"/>
  <c r="Z48" i="7"/>
  <c r="X49" i="7"/>
  <c r="Y49" i="7"/>
  <c r="Z49" i="7"/>
  <c r="AA49" i="7"/>
  <c r="R50" i="7"/>
  <c r="Z50" i="7"/>
  <c r="AA50" i="7"/>
  <c r="R51" i="7"/>
  <c r="S51" i="7"/>
  <c r="T51" i="7"/>
  <c r="R52" i="7"/>
  <c r="S52" i="7"/>
  <c r="T52" i="7"/>
  <c r="U52" i="7"/>
  <c r="V52" i="7"/>
  <c r="T53" i="7"/>
  <c r="U53" i="7"/>
  <c r="V53" i="7"/>
  <c r="W53" i="7"/>
  <c r="X53" i="7"/>
  <c r="V54" i="7"/>
  <c r="W54" i="7"/>
  <c r="X54" i="7"/>
  <c r="Y54" i="7"/>
  <c r="Z54" i="7"/>
  <c r="X55" i="7"/>
  <c r="Y55" i="7"/>
  <c r="Z55" i="7"/>
  <c r="AA55" i="7"/>
  <c r="R56" i="7"/>
  <c r="Z56" i="7"/>
  <c r="AA56" i="7"/>
  <c r="R57" i="7"/>
  <c r="S57" i="7"/>
  <c r="T57" i="7"/>
  <c r="U57" i="7"/>
  <c r="R58" i="7"/>
  <c r="S58" i="7"/>
  <c r="T58" i="7"/>
  <c r="U58" i="7"/>
  <c r="V58" i="7"/>
  <c r="W58" i="7"/>
  <c r="X58" i="7"/>
  <c r="T59" i="7"/>
  <c r="U59" i="7"/>
  <c r="V59" i="7"/>
  <c r="W59" i="7"/>
  <c r="X59" i="7"/>
  <c r="Y59" i="7"/>
  <c r="Z59" i="7"/>
  <c r="V60" i="7"/>
  <c r="W60" i="7"/>
  <c r="X60" i="7"/>
  <c r="Y60" i="7"/>
  <c r="Z60" i="7"/>
  <c r="AA60" i="7"/>
  <c r="R61" i="7"/>
  <c r="X61" i="7"/>
  <c r="Y61" i="7"/>
  <c r="Z61" i="7"/>
  <c r="AA61" i="7"/>
  <c r="R62" i="7"/>
  <c r="S62" i="7"/>
  <c r="T62" i="7"/>
  <c r="Z62" i="7"/>
  <c r="AA62" i="7"/>
  <c r="R63" i="7"/>
  <c r="S63" i="7"/>
  <c r="T63" i="7"/>
  <c r="U63" i="7"/>
  <c r="V63" i="7"/>
  <c r="W63" i="7"/>
  <c r="R64" i="7"/>
  <c r="S64" i="7"/>
  <c r="T64" i="7"/>
  <c r="U64" i="7"/>
  <c r="V64" i="7"/>
  <c r="W64" i="7"/>
  <c r="X64" i="7"/>
  <c r="Y64" i="7"/>
  <c r="AA64" i="7"/>
  <c r="R65" i="7"/>
  <c r="S65" i="7"/>
  <c r="T65" i="7"/>
  <c r="U65" i="7"/>
  <c r="V65" i="7"/>
  <c r="W65" i="7"/>
  <c r="X65" i="7"/>
  <c r="Y65" i="7"/>
  <c r="Z65" i="7"/>
  <c r="AA65" i="7"/>
  <c r="R66" i="7"/>
  <c r="S66" i="7"/>
  <c r="T66" i="7"/>
  <c r="U66" i="7"/>
  <c r="V66" i="7"/>
  <c r="W66" i="7"/>
  <c r="X66" i="7"/>
  <c r="Y66" i="7"/>
  <c r="Z66" i="7"/>
  <c r="AA66" i="7"/>
  <c r="R67" i="7"/>
  <c r="S67" i="7"/>
  <c r="T67" i="7"/>
  <c r="U67" i="7"/>
  <c r="V67" i="7"/>
  <c r="W67" i="7"/>
  <c r="X67" i="7"/>
  <c r="Y67" i="7"/>
  <c r="Z67" i="7"/>
  <c r="AA67" i="7"/>
  <c r="R68" i="7"/>
  <c r="S68" i="7"/>
  <c r="T68" i="7"/>
  <c r="U68" i="7"/>
  <c r="V68" i="7"/>
  <c r="W68" i="7"/>
  <c r="X68" i="7"/>
  <c r="Y68" i="7"/>
  <c r="Z68" i="7"/>
  <c r="AA68" i="7"/>
  <c r="R69" i="7"/>
  <c r="S69" i="7"/>
  <c r="T69" i="7"/>
  <c r="U69" i="7"/>
  <c r="V69" i="7"/>
  <c r="W69" i="7"/>
  <c r="X69" i="7"/>
  <c r="Y69" i="7"/>
  <c r="Z69" i="7"/>
  <c r="AA69" i="7"/>
  <c r="R70" i="7"/>
  <c r="S70" i="7"/>
  <c r="T70" i="7"/>
  <c r="U70" i="7"/>
  <c r="V70" i="7"/>
  <c r="W70" i="7"/>
  <c r="X70" i="7"/>
  <c r="Y70" i="7"/>
  <c r="Z70" i="7"/>
  <c r="AA70" i="7"/>
  <c r="R71" i="7"/>
  <c r="S71" i="7"/>
  <c r="T71" i="7"/>
  <c r="U71" i="7"/>
  <c r="V71" i="7"/>
  <c r="W71" i="7"/>
  <c r="X71" i="7"/>
  <c r="Y71" i="7"/>
  <c r="Z71" i="7"/>
  <c r="AA71" i="7"/>
  <c r="R72" i="7"/>
  <c r="S72" i="7"/>
  <c r="T72" i="7"/>
  <c r="U72" i="7"/>
  <c r="V72" i="7"/>
  <c r="W72" i="7"/>
  <c r="X72" i="7"/>
  <c r="Y72" i="7"/>
  <c r="Z72" i="7"/>
  <c r="AA72" i="7"/>
  <c r="R73" i="7"/>
  <c r="S73" i="7"/>
  <c r="X73" i="7"/>
  <c r="Y73" i="7"/>
  <c r="Z73" i="7"/>
  <c r="AA73" i="7"/>
  <c r="R74" i="7"/>
  <c r="Z74" i="7"/>
  <c r="AA74" i="7"/>
  <c r="R75" i="7"/>
  <c r="S75" i="7"/>
  <c r="T75" i="7"/>
  <c r="R76" i="7"/>
  <c r="S76" i="7"/>
  <c r="T76" i="7"/>
  <c r="U76" i="7"/>
  <c r="V76" i="7"/>
  <c r="W76" i="7"/>
  <c r="T77" i="7"/>
  <c r="U77" i="7"/>
  <c r="V77" i="7"/>
  <c r="W77" i="7"/>
  <c r="X77" i="7"/>
  <c r="Y77" i="7"/>
  <c r="V78" i="7"/>
  <c r="W78" i="7"/>
  <c r="X78" i="7"/>
  <c r="Y78" i="7"/>
  <c r="Z78" i="7"/>
  <c r="AA78" i="7"/>
  <c r="X79" i="7"/>
  <c r="Y79" i="7"/>
  <c r="Z79" i="7"/>
  <c r="AA79" i="7"/>
  <c r="R80" i="7"/>
  <c r="S80" i="7"/>
  <c r="Z80" i="7"/>
  <c r="AA80" i="7"/>
  <c r="R81" i="7"/>
  <c r="S81" i="7"/>
  <c r="T81" i="7"/>
  <c r="U81" i="7"/>
  <c r="R82" i="7"/>
  <c r="S82" i="7"/>
  <c r="T82" i="7"/>
  <c r="U82" i="7"/>
  <c r="V82" i="7"/>
  <c r="W82" i="7"/>
  <c r="T83" i="7"/>
  <c r="U83" i="7"/>
  <c r="V83" i="7"/>
  <c r="W83" i="7"/>
  <c r="X83" i="7"/>
  <c r="Y83" i="7"/>
  <c r="Z83" i="7"/>
  <c r="AA83" i="7"/>
  <c r="R84" i="7"/>
  <c r="V84" i="7"/>
  <c r="W84" i="7"/>
  <c r="X84" i="7"/>
  <c r="Y84" i="7"/>
  <c r="Z84" i="7"/>
  <c r="AA84" i="7"/>
  <c r="R85" i="7"/>
  <c r="S85" i="7"/>
  <c r="T85" i="7"/>
  <c r="X85" i="7"/>
  <c r="Y85" i="7"/>
  <c r="Z85" i="7"/>
  <c r="AA85" i="7"/>
  <c r="R86" i="7"/>
  <c r="S86" i="7"/>
  <c r="T86" i="7"/>
  <c r="U86" i="7"/>
  <c r="V86" i="7"/>
  <c r="W86" i="7"/>
  <c r="X86" i="7"/>
  <c r="Y86" i="7"/>
  <c r="Z86" i="7"/>
  <c r="AA86" i="7"/>
  <c r="R87" i="7"/>
  <c r="S87" i="7"/>
  <c r="T87" i="7"/>
  <c r="U87" i="7"/>
  <c r="V87" i="7"/>
  <c r="W87" i="7"/>
  <c r="X87" i="7"/>
  <c r="Y87" i="7"/>
  <c r="Z87" i="7"/>
  <c r="AA87" i="7"/>
  <c r="R88" i="7"/>
  <c r="S88" i="7"/>
  <c r="T88" i="7"/>
  <c r="U88" i="7"/>
  <c r="V88" i="7"/>
  <c r="W88" i="7"/>
  <c r="X88" i="7"/>
  <c r="Y88" i="7"/>
  <c r="Z88" i="7"/>
  <c r="AA88" i="7"/>
  <c r="R89" i="7"/>
  <c r="S89" i="7"/>
  <c r="T89" i="7"/>
  <c r="U89" i="7"/>
  <c r="V89" i="7"/>
  <c r="W89" i="7"/>
  <c r="X89" i="7"/>
  <c r="Y89" i="7"/>
  <c r="Z89" i="7"/>
  <c r="AA89" i="7"/>
  <c r="R90" i="7"/>
  <c r="S90" i="7"/>
  <c r="T90" i="7"/>
  <c r="U90" i="7"/>
  <c r="V90" i="7"/>
  <c r="W90" i="7"/>
  <c r="X90" i="7"/>
  <c r="Y90" i="7"/>
  <c r="Z90" i="7"/>
  <c r="AA90" i="7"/>
  <c r="R91" i="7"/>
  <c r="S91" i="7"/>
  <c r="X91" i="7"/>
  <c r="Y91" i="7"/>
  <c r="Z91" i="7"/>
  <c r="AA91" i="7"/>
  <c r="R92" i="7"/>
  <c r="Z92" i="7"/>
  <c r="AA92" i="7"/>
  <c r="R93" i="7"/>
  <c r="S93" i="7"/>
  <c r="T93" i="7"/>
  <c r="R94" i="7"/>
  <c r="S94" i="7"/>
  <c r="T94" i="7"/>
  <c r="U94" i="7"/>
  <c r="V94" i="7"/>
  <c r="T95" i="7"/>
  <c r="U95" i="7"/>
  <c r="V95" i="7"/>
  <c r="W95" i="7"/>
  <c r="X95" i="7"/>
  <c r="V96" i="7"/>
  <c r="W96" i="7"/>
  <c r="X96" i="7"/>
  <c r="Y96" i="7"/>
  <c r="Z96" i="7"/>
  <c r="AA96" i="7"/>
  <c r="X97" i="7"/>
  <c r="Y97" i="7"/>
  <c r="Z97" i="7"/>
  <c r="AA97" i="7"/>
  <c r="R98" i="7"/>
  <c r="S98" i="7"/>
  <c r="Z98" i="7"/>
  <c r="AA98" i="7"/>
  <c r="R99" i="7"/>
  <c r="S99" i="7"/>
  <c r="T99" i="7"/>
  <c r="U99" i="7"/>
  <c r="R100" i="7"/>
  <c r="S100" i="7"/>
  <c r="T100" i="7"/>
  <c r="U100" i="7"/>
  <c r="V100" i="7"/>
  <c r="W100" i="7"/>
  <c r="T101" i="7"/>
  <c r="U101" i="7"/>
  <c r="V101" i="7"/>
  <c r="W101" i="7"/>
  <c r="X101" i="7"/>
  <c r="Y101" i="7"/>
  <c r="V102" i="7"/>
  <c r="W102" i="7"/>
  <c r="X102" i="7"/>
  <c r="Y102" i="7"/>
  <c r="Z102" i="7"/>
  <c r="AA102" i="7"/>
  <c r="S3" i="7"/>
  <c r="T3" i="7"/>
  <c r="V3" i="7"/>
  <c r="Z3" i="7"/>
  <c r="E116" i="4"/>
  <c r="E115" i="4"/>
  <c r="E114" i="4"/>
  <c r="D114" i="4"/>
  <c r="C105" i="4" a="1"/>
  <c r="C105" i="4" s="1"/>
  <c r="D116" i="4"/>
  <c r="D115" i="4"/>
  <c r="C105" i="5" a="1"/>
  <c r="C105" i="5" s="1"/>
  <c r="I4" i="5"/>
  <c r="J4" i="5"/>
  <c r="K4" i="5"/>
  <c r="L4" i="5"/>
  <c r="M4" i="5"/>
  <c r="N4" i="5"/>
  <c r="O4" i="5"/>
  <c r="P4" i="5"/>
  <c r="S105" i="5" s="1" a="1"/>
  <c r="S105" i="5" s="1"/>
  <c r="Q4" i="5"/>
  <c r="H5" i="5"/>
  <c r="I5" i="5"/>
  <c r="J5" i="5"/>
  <c r="K5" i="5"/>
  <c r="L5" i="5"/>
  <c r="M5" i="5"/>
  <c r="N5" i="5"/>
  <c r="O5" i="5"/>
  <c r="P5" i="5"/>
  <c r="Q5" i="5"/>
  <c r="H6" i="5"/>
  <c r="I6" i="5"/>
  <c r="J6" i="5"/>
  <c r="K6" i="5"/>
  <c r="L6" i="5"/>
  <c r="M6" i="5"/>
  <c r="N6" i="5"/>
  <c r="O6" i="5"/>
  <c r="P6" i="5"/>
  <c r="Q6" i="5"/>
  <c r="H7" i="5"/>
  <c r="I7" i="5"/>
  <c r="J7" i="5"/>
  <c r="K7" i="5"/>
  <c r="L7" i="5"/>
  <c r="M7" i="5"/>
  <c r="N7" i="5"/>
  <c r="O7" i="5"/>
  <c r="P7" i="5"/>
  <c r="Q7" i="5"/>
  <c r="H8" i="5"/>
  <c r="I8" i="5"/>
  <c r="J8" i="5"/>
  <c r="K8" i="5"/>
  <c r="L8" i="5"/>
  <c r="M8" i="5"/>
  <c r="N8" i="5"/>
  <c r="O8" i="5"/>
  <c r="P8" i="5"/>
  <c r="Q8" i="5"/>
  <c r="H9" i="5"/>
  <c r="I9" i="5"/>
  <c r="J9" i="5"/>
  <c r="K9" i="5"/>
  <c r="L9" i="5"/>
  <c r="M9" i="5"/>
  <c r="N9" i="5"/>
  <c r="O9" i="5"/>
  <c r="P9" i="5"/>
  <c r="Q9" i="5"/>
  <c r="H10" i="5"/>
  <c r="I10" i="5"/>
  <c r="J10" i="5"/>
  <c r="K10" i="5"/>
  <c r="L10" i="5"/>
  <c r="M10" i="5"/>
  <c r="N10" i="5"/>
  <c r="O10" i="5"/>
  <c r="P10" i="5"/>
  <c r="Q10" i="5"/>
  <c r="H11" i="5"/>
  <c r="I11" i="5"/>
  <c r="J11" i="5"/>
  <c r="K11" i="5"/>
  <c r="L11" i="5"/>
  <c r="M11" i="5"/>
  <c r="N11" i="5"/>
  <c r="O11" i="5"/>
  <c r="P11" i="5"/>
  <c r="Q11" i="5"/>
  <c r="H12" i="5"/>
  <c r="I12" i="5"/>
  <c r="J12" i="5"/>
  <c r="K12" i="5"/>
  <c r="L12" i="5"/>
  <c r="M12" i="5"/>
  <c r="N12" i="5"/>
  <c r="O12" i="5"/>
  <c r="P12" i="5"/>
  <c r="Q12" i="5"/>
  <c r="H13" i="5"/>
  <c r="I13" i="5"/>
  <c r="J13" i="5"/>
  <c r="K13" i="5"/>
  <c r="L13" i="5"/>
  <c r="M13" i="5"/>
  <c r="N13" i="5"/>
  <c r="O13" i="5"/>
  <c r="P13" i="5"/>
  <c r="Q13" i="5"/>
  <c r="H14" i="5"/>
  <c r="I14" i="5"/>
  <c r="J14" i="5"/>
  <c r="K14" i="5"/>
  <c r="L14" i="5"/>
  <c r="M14" i="5"/>
  <c r="N14" i="5"/>
  <c r="O14" i="5"/>
  <c r="P14" i="5"/>
  <c r="Q14" i="5"/>
  <c r="H15" i="5"/>
  <c r="I15" i="5"/>
  <c r="J15" i="5"/>
  <c r="K15" i="5"/>
  <c r="L15" i="5"/>
  <c r="M15" i="5"/>
  <c r="N15" i="5"/>
  <c r="O15" i="5"/>
  <c r="P15" i="5"/>
  <c r="Q15" i="5"/>
  <c r="H16" i="5"/>
  <c r="I16" i="5"/>
  <c r="J16" i="5"/>
  <c r="K16" i="5"/>
  <c r="L16" i="5"/>
  <c r="M16" i="5"/>
  <c r="N16" i="5"/>
  <c r="O16" i="5"/>
  <c r="P16" i="5"/>
  <c r="Q16" i="5"/>
  <c r="H17" i="5"/>
  <c r="I17" i="5"/>
  <c r="J17" i="5"/>
  <c r="K17" i="5"/>
  <c r="L17" i="5"/>
  <c r="M17" i="5"/>
  <c r="N17" i="5"/>
  <c r="O17" i="5"/>
  <c r="P17" i="5"/>
  <c r="Q17" i="5"/>
  <c r="H18" i="5"/>
  <c r="I18" i="5"/>
  <c r="J18" i="5"/>
  <c r="K18" i="5"/>
  <c r="L18" i="5"/>
  <c r="M18" i="5"/>
  <c r="N18" i="5"/>
  <c r="O18" i="5"/>
  <c r="P18" i="5"/>
  <c r="Q18" i="5"/>
  <c r="H19" i="5"/>
  <c r="I19" i="5"/>
  <c r="J19" i="5"/>
  <c r="K19" i="5"/>
  <c r="L19" i="5"/>
  <c r="M19" i="5"/>
  <c r="N19" i="5"/>
  <c r="O19" i="5"/>
  <c r="P19" i="5"/>
  <c r="Q19" i="5"/>
  <c r="H20" i="5"/>
  <c r="I20" i="5"/>
  <c r="J20" i="5"/>
  <c r="K20" i="5"/>
  <c r="L20" i="5"/>
  <c r="M20" i="5"/>
  <c r="N20" i="5"/>
  <c r="O20" i="5"/>
  <c r="P20" i="5"/>
  <c r="Q20" i="5"/>
  <c r="H21" i="5"/>
  <c r="I21" i="5"/>
  <c r="J21" i="5"/>
  <c r="K21" i="5"/>
  <c r="L21" i="5"/>
  <c r="M21" i="5"/>
  <c r="N21" i="5"/>
  <c r="O21" i="5"/>
  <c r="P21" i="5"/>
  <c r="Q21" i="5"/>
  <c r="H22" i="5"/>
  <c r="I22" i="5"/>
  <c r="J22" i="5"/>
  <c r="K22" i="5"/>
  <c r="L22" i="5"/>
  <c r="M22" i="5"/>
  <c r="N22" i="5"/>
  <c r="O22" i="5"/>
  <c r="P22" i="5"/>
  <c r="Q22" i="5"/>
  <c r="H23" i="5"/>
  <c r="I23" i="5"/>
  <c r="J23" i="5"/>
  <c r="K23" i="5"/>
  <c r="L23" i="5"/>
  <c r="M23" i="5"/>
  <c r="N23" i="5"/>
  <c r="O23" i="5"/>
  <c r="P23" i="5"/>
  <c r="Q23" i="5"/>
  <c r="H24" i="5"/>
  <c r="I24" i="5"/>
  <c r="J24" i="5"/>
  <c r="K24" i="5"/>
  <c r="L24" i="5"/>
  <c r="M24" i="5"/>
  <c r="N24" i="5"/>
  <c r="O24" i="5"/>
  <c r="P24" i="5"/>
  <c r="Q24" i="5"/>
  <c r="H25" i="5"/>
  <c r="I25" i="5"/>
  <c r="J25" i="5"/>
  <c r="K25" i="5"/>
  <c r="L25" i="5"/>
  <c r="M25" i="5"/>
  <c r="N25" i="5"/>
  <c r="O25" i="5"/>
  <c r="P25" i="5"/>
  <c r="Q25" i="5"/>
  <c r="H26" i="5"/>
  <c r="I26" i="5"/>
  <c r="J26" i="5"/>
  <c r="K26" i="5"/>
  <c r="L26" i="5"/>
  <c r="M26" i="5"/>
  <c r="N26" i="5"/>
  <c r="O26" i="5"/>
  <c r="P26" i="5"/>
  <c r="Q26" i="5"/>
  <c r="H27" i="5"/>
  <c r="I27" i="5"/>
  <c r="J27" i="5"/>
  <c r="K27" i="5"/>
  <c r="L27" i="5"/>
  <c r="M27" i="5"/>
  <c r="N27" i="5"/>
  <c r="O27" i="5"/>
  <c r="P27" i="5"/>
  <c r="Q27" i="5"/>
  <c r="H28" i="5"/>
  <c r="I28" i="5"/>
  <c r="J28" i="5"/>
  <c r="K28" i="5"/>
  <c r="L28" i="5"/>
  <c r="M28" i="5"/>
  <c r="N28" i="5"/>
  <c r="O28" i="5"/>
  <c r="P28" i="5"/>
  <c r="Q28" i="5"/>
  <c r="H29" i="5"/>
  <c r="I29" i="5"/>
  <c r="J29" i="5"/>
  <c r="K29" i="5"/>
  <c r="L29" i="5"/>
  <c r="M29" i="5"/>
  <c r="N29" i="5"/>
  <c r="O29" i="5"/>
  <c r="P29" i="5"/>
  <c r="Q29" i="5"/>
  <c r="H30" i="5"/>
  <c r="I30" i="5"/>
  <c r="J30" i="5"/>
  <c r="K30" i="5"/>
  <c r="L30" i="5"/>
  <c r="M30" i="5"/>
  <c r="N30" i="5"/>
  <c r="O30" i="5"/>
  <c r="P30" i="5"/>
  <c r="Q30" i="5"/>
  <c r="H31" i="5"/>
  <c r="I31" i="5"/>
  <c r="J31" i="5"/>
  <c r="K31" i="5"/>
  <c r="L31" i="5"/>
  <c r="M31" i="5"/>
  <c r="N31" i="5"/>
  <c r="O31" i="5"/>
  <c r="P31" i="5"/>
  <c r="Q31" i="5"/>
  <c r="H32" i="5"/>
  <c r="I32" i="5"/>
  <c r="J32" i="5"/>
  <c r="K32" i="5"/>
  <c r="L32" i="5"/>
  <c r="M32" i="5"/>
  <c r="N32" i="5"/>
  <c r="O32" i="5"/>
  <c r="P32" i="5"/>
  <c r="Q32" i="5"/>
  <c r="H33" i="5"/>
  <c r="I33" i="5"/>
  <c r="J33" i="5"/>
  <c r="K33" i="5"/>
  <c r="L33" i="5"/>
  <c r="M33" i="5"/>
  <c r="N33" i="5"/>
  <c r="O33" i="5"/>
  <c r="P33" i="5"/>
  <c r="Q33" i="5"/>
  <c r="H34" i="5"/>
  <c r="I34" i="5"/>
  <c r="J34" i="5"/>
  <c r="K34" i="5"/>
  <c r="L34" i="5"/>
  <c r="M34" i="5"/>
  <c r="N34" i="5"/>
  <c r="O34" i="5"/>
  <c r="P34" i="5"/>
  <c r="Q34" i="5"/>
  <c r="H35" i="5"/>
  <c r="I35" i="5"/>
  <c r="J35" i="5"/>
  <c r="K35" i="5"/>
  <c r="L35" i="5"/>
  <c r="M35" i="5"/>
  <c r="N35" i="5"/>
  <c r="O35" i="5"/>
  <c r="P35" i="5"/>
  <c r="Q35" i="5"/>
  <c r="H36" i="5"/>
  <c r="I36" i="5"/>
  <c r="J36" i="5"/>
  <c r="K36" i="5"/>
  <c r="L36" i="5"/>
  <c r="M36" i="5"/>
  <c r="N36" i="5"/>
  <c r="O36" i="5"/>
  <c r="P36" i="5"/>
  <c r="Q36" i="5"/>
  <c r="H37" i="5"/>
  <c r="I37" i="5"/>
  <c r="J37" i="5"/>
  <c r="K37" i="5"/>
  <c r="L37" i="5"/>
  <c r="M37" i="5"/>
  <c r="N37" i="5"/>
  <c r="O37" i="5"/>
  <c r="P37" i="5"/>
  <c r="Q37" i="5"/>
  <c r="H38" i="5"/>
  <c r="I38" i="5"/>
  <c r="J38" i="5"/>
  <c r="K38" i="5"/>
  <c r="L38" i="5"/>
  <c r="M38" i="5"/>
  <c r="N38" i="5"/>
  <c r="O38" i="5"/>
  <c r="P38" i="5"/>
  <c r="Q38" i="5"/>
  <c r="H39" i="5"/>
  <c r="I39" i="5"/>
  <c r="J39" i="5"/>
  <c r="K39" i="5"/>
  <c r="L39" i="5"/>
  <c r="M39" i="5"/>
  <c r="N39" i="5"/>
  <c r="O39" i="5"/>
  <c r="P39" i="5"/>
  <c r="Q39" i="5"/>
  <c r="H40" i="5"/>
  <c r="I40" i="5"/>
  <c r="J40" i="5"/>
  <c r="K40" i="5"/>
  <c r="L40" i="5"/>
  <c r="M40" i="5"/>
  <c r="N40" i="5"/>
  <c r="O40" i="5"/>
  <c r="P40" i="5"/>
  <c r="Q40" i="5"/>
  <c r="H41" i="5"/>
  <c r="I41" i="5"/>
  <c r="J41" i="5"/>
  <c r="K41" i="5"/>
  <c r="L41" i="5"/>
  <c r="M41" i="5"/>
  <c r="N41" i="5"/>
  <c r="O41" i="5"/>
  <c r="P41" i="5"/>
  <c r="Q41" i="5"/>
  <c r="H42" i="5"/>
  <c r="I42" i="5"/>
  <c r="J42" i="5"/>
  <c r="K42" i="5"/>
  <c r="L42" i="5"/>
  <c r="M42" i="5"/>
  <c r="N42" i="5"/>
  <c r="O42" i="5"/>
  <c r="P42" i="5"/>
  <c r="Q42" i="5"/>
  <c r="H43" i="5"/>
  <c r="I43" i="5"/>
  <c r="J43" i="5"/>
  <c r="K43" i="5"/>
  <c r="L43" i="5"/>
  <c r="M43" i="5"/>
  <c r="N43" i="5"/>
  <c r="O43" i="5"/>
  <c r="P43" i="5"/>
  <c r="Q43" i="5"/>
  <c r="H44" i="5"/>
  <c r="I44" i="5"/>
  <c r="J44" i="5"/>
  <c r="K44" i="5"/>
  <c r="L44" i="5"/>
  <c r="M44" i="5"/>
  <c r="N44" i="5"/>
  <c r="O44" i="5"/>
  <c r="P44" i="5"/>
  <c r="Q44" i="5"/>
  <c r="H45" i="5"/>
  <c r="I45" i="5"/>
  <c r="J45" i="5"/>
  <c r="K45" i="5"/>
  <c r="L45" i="5"/>
  <c r="M45" i="5"/>
  <c r="N45" i="5"/>
  <c r="O45" i="5"/>
  <c r="P45" i="5"/>
  <c r="Q45" i="5"/>
  <c r="H46" i="5"/>
  <c r="I46" i="5"/>
  <c r="J46" i="5"/>
  <c r="K46" i="5"/>
  <c r="L46" i="5"/>
  <c r="M46" i="5"/>
  <c r="N46" i="5"/>
  <c r="O46" i="5"/>
  <c r="P46" i="5"/>
  <c r="Q46" i="5"/>
  <c r="H47" i="5"/>
  <c r="I47" i="5"/>
  <c r="J47" i="5"/>
  <c r="K47" i="5"/>
  <c r="L47" i="5"/>
  <c r="M47" i="5"/>
  <c r="N47" i="5"/>
  <c r="O47" i="5"/>
  <c r="P47" i="5"/>
  <c r="Q47" i="5"/>
  <c r="H48" i="5"/>
  <c r="I48" i="5"/>
  <c r="J48" i="5"/>
  <c r="K48" i="5"/>
  <c r="L48" i="5"/>
  <c r="M48" i="5"/>
  <c r="N48" i="5"/>
  <c r="O48" i="5"/>
  <c r="P48" i="5"/>
  <c r="Q48" i="5"/>
  <c r="H49" i="5"/>
  <c r="I49" i="5"/>
  <c r="J49" i="5"/>
  <c r="K49" i="5"/>
  <c r="L49" i="5"/>
  <c r="M49" i="5"/>
  <c r="N49" i="5"/>
  <c r="O49" i="5"/>
  <c r="P49" i="5"/>
  <c r="Q49" i="5"/>
  <c r="H50" i="5"/>
  <c r="I50" i="5"/>
  <c r="J50" i="5"/>
  <c r="K50" i="5"/>
  <c r="L50" i="5"/>
  <c r="M50" i="5"/>
  <c r="N50" i="5"/>
  <c r="O50" i="5"/>
  <c r="P50" i="5"/>
  <c r="Q50" i="5"/>
  <c r="H51" i="5"/>
  <c r="I51" i="5"/>
  <c r="J51" i="5"/>
  <c r="K51" i="5"/>
  <c r="L51" i="5"/>
  <c r="M51" i="5"/>
  <c r="N51" i="5"/>
  <c r="O51" i="5"/>
  <c r="P51" i="5"/>
  <c r="Q51" i="5"/>
  <c r="H52" i="5"/>
  <c r="I52" i="5"/>
  <c r="J52" i="5"/>
  <c r="K52" i="5"/>
  <c r="L52" i="5"/>
  <c r="M52" i="5"/>
  <c r="N52" i="5"/>
  <c r="O52" i="5"/>
  <c r="P52" i="5"/>
  <c r="Q52" i="5"/>
  <c r="H53" i="5"/>
  <c r="I53" i="5"/>
  <c r="J53" i="5"/>
  <c r="K53" i="5"/>
  <c r="L53" i="5"/>
  <c r="M53" i="5"/>
  <c r="N53" i="5"/>
  <c r="O53" i="5"/>
  <c r="P53" i="5"/>
  <c r="Q53" i="5"/>
  <c r="H54" i="5"/>
  <c r="I54" i="5"/>
  <c r="J54" i="5"/>
  <c r="K54" i="5"/>
  <c r="L54" i="5"/>
  <c r="M54" i="5"/>
  <c r="N54" i="5"/>
  <c r="O54" i="5"/>
  <c r="P54" i="5"/>
  <c r="Q54" i="5"/>
  <c r="H55" i="5"/>
  <c r="I55" i="5"/>
  <c r="J55" i="5"/>
  <c r="K55" i="5"/>
  <c r="L55" i="5"/>
  <c r="M55" i="5"/>
  <c r="N55" i="5"/>
  <c r="O55" i="5"/>
  <c r="P55" i="5"/>
  <c r="Q55" i="5"/>
  <c r="H56" i="5"/>
  <c r="I56" i="5"/>
  <c r="J56" i="5"/>
  <c r="K56" i="5"/>
  <c r="L56" i="5"/>
  <c r="M56" i="5"/>
  <c r="N56" i="5"/>
  <c r="O56" i="5"/>
  <c r="P56" i="5"/>
  <c r="Q56" i="5"/>
  <c r="H57" i="5"/>
  <c r="I57" i="5"/>
  <c r="J57" i="5"/>
  <c r="K57" i="5"/>
  <c r="L57" i="5"/>
  <c r="M57" i="5"/>
  <c r="N57" i="5"/>
  <c r="O57" i="5"/>
  <c r="P57" i="5"/>
  <c r="Q57" i="5"/>
  <c r="H58" i="5"/>
  <c r="I58" i="5"/>
  <c r="J58" i="5"/>
  <c r="K58" i="5"/>
  <c r="L58" i="5"/>
  <c r="M58" i="5"/>
  <c r="N58" i="5"/>
  <c r="O58" i="5"/>
  <c r="P58" i="5"/>
  <c r="Q58" i="5"/>
  <c r="H59" i="5"/>
  <c r="I59" i="5"/>
  <c r="J59" i="5"/>
  <c r="K59" i="5"/>
  <c r="L59" i="5"/>
  <c r="M59" i="5"/>
  <c r="N59" i="5"/>
  <c r="O59" i="5"/>
  <c r="P59" i="5"/>
  <c r="Q59" i="5"/>
  <c r="H60" i="5"/>
  <c r="I60" i="5"/>
  <c r="J60" i="5"/>
  <c r="K60" i="5"/>
  <c r="L60" i="5"/>
  <c r="M60" i="5"/>
  <c r="N60" i="5"/>
  <c r="O60" i="5"/>
  <c r="P60" i="5"/>
  <c r="Q60" i="5"/>
  <c r="H61" i="5"/>
  <c r="I61" i="5"/>
  <c r="J61" i="5"/>
  <c r="K61" i="5"/>
  <c r="L61" i="5"/>
  <c r="M61" i="5"/>
  <c r="N61" i="5"/>
  <c r="O61" i="5"/>
  <c r="P61" i="5"/>
  <c r="Q61" i="5"/>
  <c r="H62" i="5"/>
  <c r="I62" i="5"/>
  <c r="J62" i="5"/>
  <c r="K62" i="5"/>
  <c r="L62" i="5"/>
  <c r="M62" i="5"/>
  <c r="N62" i="5"/>
  <c r="O62" i="5"/>
  <c r="P62" i="5"/>
  <c r="Q62" i="5"/>
  <c r="H63" i="5"/>
  <c r="I63" i="5"/>
  <c r="J63" i="5"/>
  <c r="K63" i="5"/>
  <c r="L63" i="5"/>
  <c r="M63" i="5"/>
  <c r="N63" i="5"/>
  <c r="O63" i="5"/>
  <c r="P63" i="5"/>
  <c r="Q63" i="5"/>
  <c r="H64" i="5"/>
  <c r="I64" i="5"/>
  <c r="J64" i="5"/>
  <c r="K64" i="5"/>
  <c r="L64" i="5"/>
  <c r="M64" i="5"/>
  <c r="N64" i="5"/>
  <c r="O64" i="5"/>
  <c r="P64" i="5"/>
  <c r="Q64" i="5"/>
  <c r="H65" i="5"/>
  <c r="I65" i="5"/>
  <c r="J65" i="5"/>
  <c r="K65" i="5"/>
  <c r="L65" i="5"/>
  <c r="M65" i="5"/>
  <c r="N65" i="5"/>
  <c r="O65" i="5"/>
  <c r="P65" i="5"/>
  <c r="Q65" i="5"/>
  <c r="H66" i="5"/>
  <c r="I66" i="5"/>
  <c r="J66" i="5"/>
  <c r="K66" i="5"/>
  <c r="L66" i="5"/>
  <c r="M66" i="5"/>
  <c r="N66" i="5"/>
  <c r="O66" i="5"/>
  <c r="P66" i="5"/>
  <c r="Q66" i="5"/>
  <c r="H67" i="5"/>
  <c r="I67" i="5"/>
  <c r="J67" i="5"/>
  <c r="K67" i="5"/>
  <c r="L67" i="5"/>
  <c r="M67" i="5"/>
  <c r="N67" i="5"/>
  <c r="O67" i="5"/>
  <c r="P67" i="5"/>
  <c r="Q67" i="5"/>
  <c r="H68" i="5"/>
  <c r="I68" i="5"/>
  <c r="J68" i="5"/>
  <c r="K68" i="5"/>
  <c r="L68" i="5"/>
  <c r="M68" i="5"/>
  <c r="N68" i="5"/>
  <c r="O68" i="5"/>
  <c r="P68" i="5"/>
  <c r="Q68" i="5"/>
  <c r="H69" i="5"/>
  <c r="I69" i="5"/>
  <c r="J69" i="5"/>
  <c r="K69" i="5"/>
  <c r="L69" i="5"/>
  <c r="M69" i="5"/>
  <c r="N69" i="5"/>
  <c r="O69" i="5"/>
  <c r="P69" i="5"/>
  <c r="Q69" i="5"/>
  <c r="H70" i="5"/>
  <c r="I70" i="5"/>
  <c r="J70" i="5"/>
  <c r="K70" i="5"/>
  <c r="L70" i="5"/>
  <c r="M70" i="5"/>
  <c r="N70" i="5"/>
  <c r="O70" i="5"/>
  <c r="P70" i="5"/>
  <c r="Q70" i="5"/>
  <c r="H71" i="5"/>
  <c r="I71" i="5"/>
  <c r="J71" i="5"/>
  <c r="K71" i="5"/>
  <c r="L71" i="5"/>
  <c r="M71" i="5"/>
  <c r="N71" i="5"/>
  <c r="O71" i="5"/>
  <c r="P71" i="5"/>
  <c r="Q71" i="5"/>
  <c r="H72" i="5"/>
  <c r="I72" i="5"/>
  <c r="J72" i="5"/>
  <c r="K72" i="5"/>
  <c r="L72" i="5"/>
  <c r="M72" i="5"/>
  <c r="N72" i="5"/>
  <c r="O72" i="5"/>
  <c r="P72" i="5"/>
  <c r="Q72" i="5"/>
  <c r="H73" i="5"/>
  <c r="I73" i="5"/>
  <c r="J73" i="5"/>
  <c r="K73" i="5"/>
  <c r="L73" i="5"/>
  <c r="M73" i="5"/>
  <c r="N73" i="5"/>
  <c r="O73" i="5"/>
  <c r="P73" i="5"/>
  <c r="Q73" i="5"/>
  <c r="H74" i="5"/>
  <c r="I74" i="5"/>
  <c r="J74" i="5"/>
  <c r="K74" i="5"/>
  <c r="L74" i="5"/>
  <c r="M74" i="5"/>
  <c r="N74" i="5"/>
  <c r="O74" i="5"/>
  <c r="P74" i="5"/>
  <c r="Q74" i="5"/>
  <c r="H75" i="5"/>
  <c r="I75" i="5"/>
  <c r="J75" i="5"/>
  <c r="K75" i="5"/>
  <c r="L75" i="5"/>
  <c r="M75" i="5"/>
  <c r="N75" i="5"/>
  <c r="O75" i="5"/>
  <c r="P75" i="5"/>
  <c r="Q75" i="5"/>
  <c r="H76" i="5"/>
  <c r="I76" i="5"/>
  <c r="J76" i="5"/>
  <c r="K76" i="5"/>
  <c r="L76" i="5"/>
  <c r="M76" i="5"/>
  <c r="N76" i="5"/>
  <c r="O76" i="5"/>
  <c r="P76" i="5"/>
  <c r="Q76" i="5"/>
  <c r="H77" i="5"/>
  <c r="I77" i="5"/>
  <c r="J77" i="5"/>
  <c r="K77" i="5"/>
  <c r="L77" i="5"/>
  <c r="M77" i="5"/>
  <c r="N77" i="5"/>
  <c r="O77" i="5"/>
  <c r="P77" i="5"/>
  <c r="Q77" i="5"/>
  <c r="H78" i="5"/>
  <c r="I78" i="5"/>
  <c r="J78" i="5"/>
  <c r="K78" i="5"/>
  <c r="L78" i="5"/>
  <c r="M78" i="5"/>
  <c r="N78" i="5"/>
  <c r="O78" i="5"/>
  <c r="P78" i="5"/>
  <c r="Q78" i="5"/>
  <c r="H79" i="5"/>
  <c r="I79" i="5"/>
  <c r="J79" i="5"/>
  <c r="K79" i="5"/>
  <c r="L79" i="5"/>
  <c r="M79" i="5"/>
  <c r="N79" i="5"/>
  <c r="O79" i="5"/>
  <c r="P79" i="5"/>
  <c r="Q79" i="5"/>
  <c r="H80" i="5"/>
  <c r="I80" i="5"/>
  <c r="J80" i="5"/>
  <c r="K80" i="5"/>
  <c r="L80" i="5"/>
  <c r="M80" i="5"/>
  <c r="N80" i="5"/>
  <c r="O80" i="5"/>
  <c r="P80" i="5"/>
  <c r="Q80" i="5"/>
  <c r="H81" i="5"/>
  <c r="I81" i="5"/>
  <c r="J81" i="5"/>
  <c r="K81" i="5"/>
  <c r="L81" i="5"/>
  <c r="M81" i="5"/>
  <c r="N81" i="5"/>
  <c r="O81" i="5"/>
  <c r="P81" i="5"/>
  <c r="Q81" i="5"/>
  <c r="H82" i="5"/>
  <c r="I82" i="5"/>
  <c r="J82" i="5"/>
  <c r="K82" i="5"/>
  <c r="L82" i="5"/>
  <c r="M82" i="5"/>
  <c r="N82" i="5"/>
  <c r="O82" i="5"/>
  <c r="P82" i="5"/>
  <c r="Q82" i="5"/>
  <c r="H83" i="5"/>
  <c r="I83" i="5"/>
  <c r="J83" i="5"/>
  <c r="K83" i="5"/>
  <c r="L83" i="5"/>
  <c r="M83" i="5"/>
  <c r="N83" i="5"/>
  <c r="O83" i="5"/>
  <c r="P83" i="5"/>
  <c r="Q83" i="5"/>
  <c r="H84" i="5"/>
  <c r="I84" i="5"/>
  <c r="J84" i="5"/>
  <c r="K84" i="5"/>
  <c r="L84" i="5"/>
  <c r="M84" i="5"/>
  <c r="N84" i="5"/>
  <c r="O84" i="5"/>
  <c r="P84" i="5"/>
  <c r="Q84" i="5"/>
  <c r="H85" i="5"/>
  <c r="I85" i="5"/>
  <c r="J85" i="5"/>
  <c r="K85" i="5"/>
  <c r="L85" i="5"/>
  <c r="M85" i="5"/>
  <c r="N85" i="5"/>
  <c r="O85" i="5"/>
  <c r="P85" i="5"/>
  <c r="Q85" i="5"/>
  <c r="H86" i="5"/>
  <c r="I86" i="5"/>
  <c r="J86" i="5"/>
  <c r="K86" i="5"/>
  <c r="L86" i="5"/>
  <c r="M86" i="5"/>
  <c r="N86" i="5"/>
  <c r="O86" i="5"/>
  <c r="P86" i="5"/>
  <c r="Q86" i="5"/>
  <c r="H87" i="5"/>
  <c r="I87" i="5"/>
  <c r="J87" i="5"/>
  <c r="K87" i="5"/>
  <c r="L87" i="5"/>
  <c r="M87" i="5"/>
  <c r="N87" i="5"/>
  <c r="O87" i="5"/>
  <c r="P87" i="5"/>
  <c r="Q87" i="5"/>
  <c r="H88" i="5"/>
  <c r="I88" i="5"/>
  <c r="J88" i="5"/>
  <c r="K88" i="5"/>
  <c r="L88" i="5"/>
  <c r="M88" i="5"/>
  <c r="N88" i="5"/>
  <c r="O88" i="5"/>
  <c r="P88" i="5"/>
  <c r="Q88" i="5"/>
  <c r="H89" i="5"/>
  <c r="I89" i="5"/>
  <c r="J89" i="5"/>
  <c r="K89" i="5"/>
  <c r="L89" i="5"/>
  <c r="M89" i="5"/>
  <c r="N89" i="5"/>
  <c r="O89" i="5"/>
  <c r="P89" i="5"/>
  <c r="Q89" i="5"/>
  <c r="H90" i="5"/>
  <c r="I90" i="5"/>
  <c r="J90" i="5"/>
  <c r="K90" i="5"/>
  <c r="L90" i="5"/>
  <c r="M90" i="5"/>
  <c r="N90" i="5"/>
  <c r="O90" i="5"/>
  <c r="P90" i="5"/>
  <c r="Q90" i="5"/>
  <c r="H91" i="5"/>
  <c r="I91" i="5"/>
  <c r="J91" i="5"/>
  <c r="K91" i="5"/>
  <c r="L91" i="5"/>
  <c r="M91" i="5"/>
  <c r="N91" i="5"/>
  <c r="O91" i="5"/>
  <c r="P91" i="5"/>
  <c r="Q91" i="5"/>
  <c r="H92" i="5"/>
  <c r="I92" i="5"/>
  <c r="J92" i="5"/>
  <c r="K92" i="5"/>
  <c r="L92" i="5"/>
  <c r="M92" i="5"/>
  <c r="N92" i="5"/>
  <c r="O92" i="5"/>
  <c r="P92" i="5"/>
  <c r="Q92" i="5"/>
  <c r="H93" i="5"/>
  <c r="I93" i="5"/>
  <c r="J93" i="5"/>
  <c r="K93" i="5"/>
  <c r="L93" i="5"/>
  <c r="M93" i="5"/>
  <c r="N93" i="5"/>
  <c r="O93" i="5"/>
  <c r="P93" i="5"/>
  <c r="Q93" i="5"/>
  <c r="H94" i="5"/>
  <c r="I94" i="5"/>
  <c r="J94" i="5"/>
  <c r="K94" i="5"/>
  <c r="L94" i="5"/>
  <c r="M94" i="5"/>
  <c r="N94" i="5"/>
  <c r="O94" i="5"/>
  <c r="P94" i="5"/>
  <c r="Q94" i="5"/>
  <c r="H95" i="5"/>
  <c r="I95" i="5"/>
  <c r="J95" i="5"/>
  <c r="K95" i="5"/>
  <c r="L95" i="5"/>
  <c r="M95" i="5"/>
  <c r="N95" i="5"/>
  <c r="O95" i="5"/>
  <c r="P95" i="5"/>
  <c r="Q95" i="5"/>
  <c r="H96" i="5"/>
  <c r="I96" i="5"/>
  <c r="J96" i="5"/>
  <c r="K96" i="5"/>
  <c r="L96" i="5"/>
  <c r="M96" i="5"/>
  <c r="N96" i="5"/>
  <c r="O96" i="5"/>
  <c r="P96" i="5"/>
  <c r="Q96" i="5"/>
  <c r="H97" i="5"/>
  <c r="I97" i="5"/>
  <c r="J97" i="5"/>
  <c r="K97" i="5"/>
  <c r="L97" i="5"/>
  <c r="M97" i="5"/>
  <c r="N97" i="5"/>
  <c r="O97" i="5"/>
  <c r="P97" i="5"/>
  <c r="Q97" i="5"/>
  <c r="H98" i="5"/>
  <c r="I98" i="5"/>
  <c r="J98" i="5"/>
  <c r="K98" i="5"/>
  <c r="L98" i="5"/>
  <c r="M98" i="5"/>
  <c r="N98" i="5"/>
  <c r="O98" i="5"/>
  <c r="P98" i="5"/>
  <c r="Q98" i="5"/>
  <c r="H99" i="5"/>
  <c r="I99" i="5"/>
  <c r="J99" i="5"/>
  <c r="K99" i="5"/>
  <c r="L99" i="5"/>
  <c r="M99" i="5"/>
  <c r="N99" i="5"/>
  <c r="O99" i="5"/>
  <c r="P99" i="5"/>
  <c r="Q99" i="5"/>
  <c r="H100" i="5"/>
  <c r="I100" i="5"/>
  <c r="J100" i="5"/>
  <c r="K100" i="5"/>
  <c r="L100" i="5"/>
  <c r="M100" i="5"/>
  <c r="N100" i="5"/>
  <c r="O100" i="5"/>
  <c r="P100" i="5"/>
  <c r="Q100" i="5"/>
  <c r="H101" i="5"/>
  <c r="I101" i="5"/>
  <c r="J101" i="5"/>
  <c r="K101" i="5"/>
  <c r="L101" i="5"/>
  <c r="M101" i="5"/>
  <c r="N101" i="5"/>
  <c r="O101" i="5"/>
  <c r="P101" i="5"/>
  <c r="Q101" i="5"/>
  <c r="H102" i="5"/>
  <c r="I102" i="5"/>
  <c r="J102" i="5"/>
  <c r="K102" i="5"/>
  <c r="L102" i="5"/>
  <c r="M102" i="5"/>
  <c r="N102" i="5"/>
  <c r="O102" i="5"/>
  <c r="P102" i="5"/>
  <c r="Q102" i="5"/>
  <c r="I3" i="5"/>
  <c r="J3" i="5"/>
  <c r="K3" i="5"/>
  <c r="L3" i="5"/>
  <c r="M3" i="5"/>
  <c r="N3" i="5"/>
  <c r="O3" i="5"/>
  <c r="P3" i="5"/>
  <c r="Q3" i="5"/>
  <c r="H3" i="5"/>
  <c r="L98" i="4"/>
  <c r="H4" i="4"/>
  <c r="I4" i="4"/>
  <c r="J4" i="4"/>
  <c r="K4" i="4"/>
  <c r="L4" i="4"/>
  <c r="M4" i="4"/>
  <c r="N4" i="4"/>
  <c r="O4" i="4"/>
  <c r="P4" i="4"/>
  <c r="Q4" i="4"/>
  <c r="U105" i="4" s="1" a="1"/>
  <c r="U105" i="4" s="1"/>
  <c r="H5" i="4"/>
  <c r="I5" i="4"/>
  <c r="E105" i="4" s="1" a="1"/>
  <c r="E105" i="4" s="1"/>
  <c r="J5" i="4"/>
  <c r="K5" i="4"/>
  <c r="L5" i="4"/>
  <c r="M5" i="4"/>
  <c r="N5" i="4"/>
  <c r="O5" i="4"/>
  <c r="P5" i="4"/>
  <c r="S105" i="4" s="1" a="1"/>
  <c r="S105" i="4" s="1"/>
  <c r="Q5" i="4"/>
  <c r="H6" i="4"/>
  <c r="I6" i="4"/>
  <c r="J6" i="4"/>
  <c r="G105" i="4" s="1" a="1"/>
  <c r="G105" i="4" s="1"/>
  <c r="K6" i="4"/>
  <c r="I105" i="4" s="1" a="1"/>
  <c r="I105" i="4" s="1"/>
  <c r="L6" i="4"/>
  <c r="M6" i="4"/>
  <c r="N6" i="4"/>
  <c r="O6" i="4"/>
  <c r="P6" i="4"/>
  <c r="Q6" i="4"/>
  <c r="H7" i="4"/>
  <c r="I7" i="4"/>
  <c r="J7" i="4"/>
  <c r="K7" i="4"/>
  <c r="L7" i="4"/>
  <c r="K105" i="4" s="1" a="1"/>
  <c r="K105" i="4" s="1"/>
  <c r="M7" i="4"/>
  <c r="N7" i="4"/>
  <c r="O7" i="4"/>
  <c r="P7" i="4"/>
  <c r="Q7" i="4"/>
  <c r="H8" i="4"/>
  <c r="I8" i="4"/>
  <c r="J8" i="4"/>
  <c r="K8" i="4"/>
  <c r="L8" i="4"/>
  <c r="M8" i="4"/>
  <c r="N8" i="4"/>
  <c r="O8" i="4"/>
  <c r="P8" i="4"/>
  <c r="Q8" i="4"/>
  <c r="H9" i="4"/>
  <c r="I9" i="4"/>
  <c r="J9" i="4"/>
  <c r="K9" i="4"/>
  <c r="L9" i="4"/>
  <c r="M9" i="4"/>
  <c r="N9" i="4"/>
  <c r="O9" i="4"/>
  <c r="P9" i="4"/>
  <c r="Q9" i="4"/>
  <c r="H10" i="4"/>
  <c r="I10" i="4"/>
  <c r="J10" i="4"/>
  <c r="K10" i="4"/>
  <c r="L10" i="4"/>
  <c r="M10" i="4"/>
  <c r="N10" i="4"/>
  <c r="O10" i="4"/>
  <c r="P10" i="4"/>
  <c r="Q10" i="4"/>
  <c r="H11" i="4"/>
  <c r="I11" i="4"/>
  <c r="J11" i="4"/>
  <c r="K11" i="4"/>
  <c r="L11" i="4"/>
  <c r="M11" i="4"/>
  <c r="N11" i="4"/>
  <c r="O11" i="4"/>
  <c r="P11" i="4"/>
  <c r="Q11" i="4"/>
  <c r="H12" i="4"/>
  <c r="I12" i="4"/>
  <c r="J12" i="4"/>
  <c r="K12" i="4"/>
  <c r="L12" i="4"/>
  <c r="M12" i="4"/>
  <c r="N12" i="4"/>
  <c r="O12" i="4"/>
  <c r="P12" i="4"/>
  <c r="Q12" i="4"/>
  <c r="H13" i="4"/>
  <c r="I13" i="4"/>
  <c r="J13" i="4"/>
  <c r="K13" i="4"/>
  <c r="L13" i="4"/>
  <c r="M13" i="4"/>
  <c r="N13" i="4"/>
  <c r="O13" i="4"/>
  <c r="P13" i="4"/>
  <c r="Q13" i="4"/>
  <c r="H14" i="4"/>
  <c r="I14" i="4"/>
  <c r="J14" i="4"/>
  <c r="K14" i="4"/>
  <c r="L14" i="4"/>
  <c r="M14" i="4"/>
  <c r="N14" i="4"/>
  <c r="O14" i="4"/>
  <c r="P14" i="4"/>
  <c r="Q14" i="4"/>
  <c r="H15" i="4"/>
  <c r="I15" i="4"/>
  <c r="J15" i="4"/>
  <c r="K15" i="4"/>
  <c r="L15" i="4"/>
  <c r="M15" i="4"/>
  <c r="N15" i="4"/>
  <c r="O15" i="4"/>
  <c r="P15" i="4"/>
  <c r="Q15" i="4"/>
  <c r="H16" i="4"/>
  <c r="I16" i="4"/>
  <c r="J16" i="4"/>
  <c r="K16" i="4"/>
  <c r="L16" i="4"/>
  <c r="M16" i="4"/>
  <c r="N16" i="4"/>
  <c r="O16" i="4"/>
  <c r="P16" i="4"/>
  <c r="Q16" i="4"/>
  <c r="H17" i="4"/>
  <c r="I17" i="4"/>
  <c r="J17" i="4"/>
  <c r="K17" i="4"/>
  <c r="L17" i="4"/>
  <c r="M17" i="4"/>
  <c r="N17" i="4"/>
  <c r="O17" i="4"/>
  <c r="P17" i="4"/>
  <c r="Q17" i="4"/>
  <c r="H18" i="4"/>
  <c r="I18" i="4"/>
  <c r="J18" i="4"/>
  <c r="K18" i="4"/>
  <c r="L18" i="4"/>
  <c r="M18" i="4"/>
  <c r="N18" i="4"/>
  <c r="O18" i="4"/>
  <c r="P18" i="4"/>
  <c r="Q18" i="4"/>
  <c r="H19" i="4"/>
  <c r="I19" i="4"/>
  <c r="J19" i="4"/>
  <c r="K19" i="4"/>
  <c r="L19" i="4"/>
  <c r="M19" i="4"/>
  <c r="N19" i="4"/>
  <c r="O19" i="4"/>
  <c r="P19" i="4"/>
  <c r="Q19" i="4"/>
  <c r="H20" i="4"/>
  <c r="I20" i="4"/>
  <c r="J20" i="4"/>
  <c r="K20" i="4"/>
  <c r="L20" i="4"/>
  <c r="M20" i="4"/>
  <c r="N20" i="4"/>
  <c r="O20" i="4"/>
  <c r="P20" i="4"/>
  <c r="Q20" i="4"/>
  <c r="H21" i="4"/>
  <c r="I21" i="4"/>
  <c r="J21" i="4"/>
  <c r="K21" i="4"/>
  <c r="L21" i="4"/>
  <c r="M21" i="4"/>
  <c r="N21" i="4"/>
  <c r="O21" i="4"/>
  <c r="P21" i="4"/>
  <c r="Q21" i="4"/>
  <c r="H22" i="4"/>
  <c r="I22" i="4"/>
  <c r="J22" i="4"/>
  <c r="K22" i="4"/>
  <c r="L22" i="4"/>
  <c r="M22" i="4"/>
  <c r="N22" i="4"/>
  <c r="O22" i="4"/>
  <c r="P22" i="4"/>
  <c r="Q22" i="4"/>
  <c r="H23" i="4"/>
  <c r="I23" i="4"/>
  <c r="J23" i="4"/>
  <c r="K23" i="4"/>
  <c r="L23" i="4"/>
  <c r="M23" i="4"/>
  <c r="N23" i="4"/>
  <c r="O23" i="4"/>
  <c r="P23" i="4"/>
  <c r="Q23" i="4"/>
  <c r="H24" i="4"/>
  <c r="I24" i="4"/>
  <c r="J24" i="4"/>
  <c r="K24" i="4"/>
  <c r="L24" i="4"/>
  <c r="M24" i="4"/>
  <c r="N24" i="4"/>
  <c r="O24" i="4"/>
  <c r="P24" i="4"/>
  <c r="Q24" i="4"/>
  <c r="H25" i="4"/>
  <c r="I25" i="4"/>
  <c r="J25" i="4"/>
  <c r="K25" i="4"/>
  <c r="L25" i="4"/>
  <c r="M25" i="4"/>
  <c r="N25" i="4"/>
  <c r="O25" i="4"/>
  <c r="P25" i="4"/>
  <c r="Q25" i="4"/>
  <c r="H26" i="4"/>
  <c r="I26" i="4"/>
  <c r="J26" i="4"/>
  <c r="K26" i="4"/>
  <c r="L26" i="4"/>
  <c r="M26" i="4"/>
  <c r="N26" i="4"/>
  <c r="O26" i="4"/>
  <c r="P26" i="4"/>
  <c r="Q26" i="4"/>
  <c r="H27" i="4"/>
  <c r="I27" i="4"/>
  <c r="J27" i="4"/>
  <c r="K27" i="4"/>
  <c r="L27" i="4"/>
  <c r="M27" i="4"/>
  <c r="N27" i="4"/>
  <c r="O27" i="4"/>
  <c r="P27" i="4"/>
  <c r="Q27" i="4"/>
  <c r="H28" i="4"/>
  <c r="I28" i="4"/>
  <c r="J28" i="4"/>
  <c r="K28" i="4"/>
  <c r="L28" i="4"/>
  <c r="M28" i="4"/>
  <c r="N28" i="4"/>
  <c r="O28" i="4"/>
  <c r="P28" i="4"/>
  <c r="Q28" i="4"/>
  <c r="H29" i="4"/>
  <c r="I29" i="4"/>
  <c r="J29" i="4"/>
  <c r="K29" i="4"/>
  <c r="L29" i="4"/>
  <c r="M29" i="4"/>
  <c r="N29" i="4"/>
  <c r="O29" i="4"/>
  <c r="P29" i="4"/>
  <c r="Q29" i="4"/>
  <c r="H30" i="4"/>
  <c r="I30" i="4"/>
  <c r="J30" i="4"/>
  <c r="K30" i="4"/>
  <c r="L30" i="4"/>
  <c r="M30" i="4"/>
  <c r="N30" i="4"/>
  <c r="O30" i="4"/>
  <c r="P30" i="4"/>
  <c r="Q30" i="4"/>
  <c r="H31" i="4"/>
  <c r="I31" i="4"/>
  <c r="J31" i="4"/>
  <c r="K31" i="4"/>
  <c r="L31" i="4"/>
  <c r="M31" i="4"/>
  <c r="N31" i="4"/>
  <c r="O31" i="4"/>
  <c r="P31" i="4"/>
  <c r="Q31" i="4"/>
  <c r="H32" i="4"/>
  <c r="I32" i="4"/>
  <c r="J32" i="4"/>
  <c r="K32" i="4"/>
  <c r="L32" i="4"/>
  <c r="M32" i="4"/>
  <c r="N32" i="4"/>
  <c r="O32" i="4"/>
  <c r="P32" i="4"/>
  <c r="Q32" i="4"/>
  <c r="H33" i="4"/>
  <c r="I33" i="4"/>
  <c r="J33" i="4"/>
  <c r="K33" i="4"/>
  <c r="L33" i="4"/>
  <c r="M33" i="4"/>
  <c r="N33" i="4"/>
  <c r="O33" i="4"/>
  <c r="P33" i="4"/>
  <c r="Q33" i="4"/>
  <c r="H34" i="4"/>
  <c r="I34" i="4"/>
  <c r="J34" i="4"/>
  <c r="K34" i="4"/>
  <c r="L34" i="4"/>
  <c r="M34" i="4"/>
  <c r="N34" i="4"/>
  <c r="O34" i="4"/>
  <c r="P34" i="4"/>
  <c r="Q34" i="4"/>
  <c r="H35" i="4"/>
  <c r="I35" i="4"/>
  <c r="J35" i="4"/>
  <c r="K35" i="4"/>
  <c r="L35" i="4"/>
  <c r="M35" i="4"/>
  <c r="N35" i="4"/>
  <c r="O35" i="4"/>
  <c r="P35" i="4"/>
  <c r="Q35" i="4"/>
  <c r="H36" i="4"/>
  <c r="I36" i="4"/>
  <c r="J36" i="4"/>
  <c r="K36" i="4"/>
  <c r="L36" i="4"/>
  <c r="M36" i="4"/>
  <c r="N36" i="4"/>
  <c r="O36" i="4"/>
  <c r="P36" i="4"/>
  <c r="Q36" i="4"/>
  <c r="H37" i="4"/>
  <c r="I37" i="4"/>
  <c r="J37" i="4"/>
  <c r="K37" i="4"/>
  <c r="L37" i="4"/>
  <c r="M37" i="4"/>
  <c r="N37" i="4"/>
  <c r="O37" i="4"/>
  <c r="P37" i="4"/>
  <c r="Q37" i="4"/>
  <c r="H38" i="4"/>
  <c r="I38" i="4"/>
  <c r="J38" i="4"/>
  <c r="K38" i="4"/>
  <c r="L38" i="4"/>
  <c r="M38" i="4"/>
  <c r="N38" i="4"/>
  <c r="O38" i="4"/>
  <c r="P38" i="4"/>
  <c r="Q38" i="4"/>
  <c r="H39" i="4"/>
  <c r="I39" i="4"/>
  <c r="J39" i="4"/>
  <c r="K39" i="4"/>
  <c r="L39" i="4"/>
  <c r="M39" i="4"/>
  <c r="N39" i="4"/>
  <c r="O39" i="4"/>
  <c r="P39" i="4"/>
  <c r="Q39" i="4"/>
  <c r="H40" i="4"/>
  <c r="I40" i="4"/>
  <c r="J40" i="4"/>
  <c r="K40" i="4"/>
  <c r="L40" i="4"/>
  <c r="M40" i="4"/>
  <c r="N40" i="4"/>
  <c r="O40" i="4"/>
  <c r="P40" i="4"/>
  <c r="Q40" i="4"/>
  <c r="H41" i="4"/>
  <c r="I41" i="4"/>
  <c r="J41" i="4"/>
  <c r="K41" i="4"/>
  <c r="L41" i="4"/>
  <c r="M41" i="4"/>
  <c r="N41" i="4"/>
  <c r="O41" i="4"/>
  <c r="P41" i="4"/>
  <c r="Q41" i="4"/>
  <c r="H42" i="4"/>
  <c r="I42" i="4"/>
  <c r="J42" i="4"/>
  <c r="K42" i="4"/>
  <c r="L42" i="4"/>
  <c r="M42" i="4"/>
  <c r="N42" i="4"/>
  <c r="O42" i="4"/>
  <c r="P42" i="4"/>
  <c r="Q42" i="4"/>
  <c r="H43" i="4"/>
  <c r="I43" i="4"/>
  <c r="J43" i="4"/>
  <c r="K43" i="4"/>
  <c r="L43" i="4"/>
  <c r="M43" i="4"/>
  <c r="N43" i="4"/>
  <c r="O43" i="4"/>
  <c r="P43" i="4"/>
  <c r="Q43" i="4"/>
  <c r="H44" i="4"/>
  <c r="I44" i="4"/>
  <c r="J44" i="4"/>
  <c r="K44" i="4"/>
  <c r="L44" i="4"/>
  <c r="M44" i="4"/>
  <c r="N44" i="4"/>
  <c r="O44" i="4"/>
  <c r="P44" i="4"/>
  <c r="Q44" i="4"/>
  <c r="H45" i="4"/>
  <c r="I45" i="4"/>
  <c r="J45" i="4"/>
  <c r="K45" i="4"/>
  <c r="L45" i="4"/>
  <c r="M45" i="4"/>
  <c r="N45" i="4"/>
  <c r="O45" i="4"/>
  <c r="P45" i="4"/>
  <c r="Q45" i="4"/>
  <c r="H46" i="4"/>
  <c r="I46" i="4"/>
  <c r="J46" i="4"/>
  <c r="K46" i="4"/>
  <c r="L46" i="4"/>
  <c r="M46" i="4"/>
  <c r="N46" i="4"/>
  <c r="O46" i="4"/>
  <c r="P46" i="4"/>
  <c r="Q46" i="4"/>
  <c r="H47" i="4"/>
  <c r="I47" i="4"/>
  <c r="J47" i="4"/>
  <c r="K47" i="4"/>
  <c r="L47" i="4"/>
  <c r="M47" i="4"/>
  <c r="N47" i="4"/>
  <c r="O47" i="4"/>
  <c r="P47" i="4"/>
  <c r="Q47" i="4"/>
  <c r="H48" i="4"/>
  <c r="I48" i="4"/>
  <c r="J48" i="4"/>
  <c r="K48" i="4"/>
  <c r="L48" i="4"/>
  <c r="M48" i="4"/>
  <c r="N48" i="4"/>
  <c r="O48" i="4"/>
  <c r="P48" i="4"/>
  <c r="Q48" i="4"/>
  <c r="H49" i="4"/>
  <c r="I49" i="4"/>
  <c r="J49" i="4"/>
  <c r="K49" i="4"/>
  <c r="L49" i="4"/>
  <c r="M49" i="4"/>
  <c r="N49" i="4"/>
  <c r="O49" i="4"/>
  <c r="P49" i="4"/>
  <c r="Q49" i="4"/>
  <c r="H50" i="4"/>
  <c r="I50" i="4"/>
  <c r="J50" i="4"/>
  <c r="K50" i="4"/>
  <c r="L50" i="4"/>
  <c r="M50" i="4"/>
  <c r="N50" i="4"/>
  <c r="O50" i="4"/>
  <c r="P50" i="4"/>
  <c r="Q50" i="4"/>
  <c r="H51" i="4"/>
  <c r="I51" i="4"/>
  <c r="J51" i="4"/>
  <c r="K51" i="4"/>
  <c r="L51" i="4"/>
  <c r="M51" i="4"/>
  <c r="N51" i="4"/>
  <c r="O51" i="4"/>
  <c r="P51" i="4"/>
  <c r="Q51" i="4"/>
  <c r="H52" i="4"/>
  <c r="I52" i="4"/>
  <c r="J52" i="4"/>
  <c r="K52" i="4"/>
  <c r="L52" i="4"/>
  <c r="M52" i="4"/>
  <c r="N52" i="4"/>
  <c r="O52" i="4"/>
  <c r="P52" i="4"/>
  <c r="Q52" i="4"/>
  <c r="H53" i="4"/>
  <c r="I53" i="4"/>
  <c r="J53" i="4"/>
  <c r="K53" i="4"/>
  <c r="L53" i="4"/>
  <c r="M53" i="4"/>
  <c r="N53" i="4"/>
  <c r="O53" i="4"/>
  <c r="P53" i="4"/>
  <c r="Q53" i="4"/>
  <c r="H54" i="4"/>
  <c r="I54" i="4"/>
  <c r="J54" i="4"/>
  <c r="K54" i="4"/>
  <c r="L54" i="4"/>
  <c r="M54" i="4"/>
  <c r="N54" i="4"/>
  <c r="O54" i="4"/>
  <c r="P54" i="4"/>
  <c r="Q54" i="4"/>
  <c r="H55" i="4"/>
  <c r="I55" i="4"/>
  <c r="J55" i="4"/>
  <c r="K55" i="4"/>
  <c r="L55" i="4"/>
  <c r="M55" i="4"/>
  <c r="N55" i="4"/>
  <c r="O55" i="4"/>
  <c r="P55" i="4"/>
  <c r="Q55" i="4"/>
  <c r="H56" i="4"/>
  <c r="I56" i="4"/>
  <c r="J56" i="4"/>
  <c r="K56" i="4"/>
  <c r="L56" i="4"/>
  <c r="M56" i="4"/>
  <c r="N56" i="4"/>
  <c r="O56" i="4"/>
  <c r="P56" i="4"/>
  <c r="Q56" i="4"/>
  <c r="H57" i="4"/>
  <c r="I57" i="4"/>
  <c r="J57" i="4"/>
  <c r="K57" i="4"/>
  <c r="L57" i="4"/>
  <c r="M57" i="4"/>
  <c r="N57" i="4"/>
  <c r="O57" i="4"/>
  <c r="P57" i="4"/>
  <c r="Q57" i="4"/>
  <c r="H58" i="4"/>
  <c r="I58" i="4"/>
  <c r="J58" i="4"/>
  <c r="K58" i="4"/>
  <c r="L58" i="4"/>
  <c r="M58" i="4"/>
  <c r="N58" i="4"/>
  <c r="O58" i="4"/>
  <c r="P58" i="4"/>
  <c r="Q58" i="4"/>
  <c r="H59" i="4"/>
  <c r="I59" i="4"/>
  <c r="J59" i="4"/>
  <c r="K59" i="4"/>
  <c r="L59" i="4"/>
  <c r="M59" i="4"/>
  <c r="N59" i="4"/>
  <c r="O59" i="4"/>
  <c r="P59" i="4"/>
  <c r="Q59" i="4"/>
  <c r="H60" i="4"/>
  <c r="I60" i="4"/>
  <c r="J60" i="4"/>
  <c r="K60" i="4"/>
  <c r="L60" i="4"/>
  <c r="M60" i="4"/>
  <c r="N60" i="4"/>
  <c r="O60" i="4"/>
  <c r="P60" i="4"/>
  <c r="Q60" i="4"/>
  <c r="H61" i="4"/>
  <c r="I61" i="4"/>
  <c r="J61" i="4"/>
  <c r="K61" i="4"/>
  <c r="L61" i="4"/>
  <c r="M61" i="4"/>
  <c r="N61" i="4"/>
  <c r="O61" i="4"/>
  <c r="P61" i="4"/>
  <c r="Q61" i="4"/>
  <c r="H62" i="4"/>
  <c r="I62" i="4"/>
  <c r="J62" i="4"/>
  <c r="K62" i="4"/>
  <c r="L62" i="4"/>
  <c r="M62" i="4"/>
  <c r="N62" i="4"/>
  <c r="O62" i="4"/>
  <c r="P62" i="4"/>
  <c r="Q62" i="4"/>
  <c r="H63" i="4"/>
  <c r="I63" i="4"/>
  <c r="J63" i="4"/>
  <c r="K63" i="4"/>
  <c r="L63" i="4"/>
  <c r="M63" i="4"/>
  <c r="N63" i="4"/>
  <c r="O63" i="4"/>
  <c r="P63" i="4"/>
  <c r="Q63" i="4"/>
  <c r="H64" i="4"/>
  <c r="I64" i="4"/>
  <c r="J64" i="4"/>
  <c r="K64" i="4"/>
  <c r="L64" i="4"/>
  <c r="M64" i="4"/>
  <c r="N64" i="4"/>
  <c r="O64" i="4"/>
  <c r="P64" i="4"/>
  <c r="Q64" i="4"/>
  <c r="H65" i="4"/>
  <c r="I65" i="4"/>
  <c r="J65" i="4"/>
  <c r="K65" i="4"/>
  <c r="L65" i="4"/>
  <c r="M65" i="4"/>
  <c r="N65" i="4"/>
  <c r="O65" i="4"/>
  <c r="P65" i="4"/>
  <c r="Q65" i="4"/>
  <c r="H66" i="4"/>
  <c r="I66" i="4"/>
  <c r="J66" i="4"/>
  <c r="K66" i="4"/>
  <c r="L66" i="4"/>
  <c r="M66" i="4"/>
  <c r="N66" i="4"/>
  <c r="O66" i="4"/>
  <c r="P66" i="4"/>
  <c r="Q66" i="4"/>
  <c r="H67" i="4"/>
  <c r="I67" i="4"/>
  <c r="J67" i="4"/>
  <c r="K67" i="4"/>
  <c r="L67" i="4"/>
  <c r="M67" i="4"/>
  <c r="N67" i="4"/>
  <c r="O67" i="4"/>
  <c r="P67" i="4"/>
  <c r="Q67" i="4"/>
  <c r="H68" i="4"/>
  <c r="I68" i="4"/>
  <c r="J68" i="4"/>
  <c r="K68" i="4"/>
  <c r="L68" i="4"/>
  <c r="M68" i="4"/>
  <c r="N68" i="4"/>
  <c r="O68" i="4"/>
  <c r="P68" i="4"/>
  <c r="Q68" i="4"/>
  <c r="H69" i="4"/>
  <c r="I69" i="4"/>
  <c r="J69" i="4"/>
  <c r="K69" i="4"/>
  <c r="L69" i="4"/>
  <c r="M69" i="4"/>
  <c r="N69" i="4"/>
  <c r="O69" i="4"/>
  <c r="P69" i="4"/>
  <c r="Q69" i="4"/>
  <c r="H70" i="4"/>
  <c r="I70" i="4"/>
  <c r="J70" i="4"/>
  <c r="K70" i="4"/>
  <c r="L70" i="4"/>
  <c r="M70" i="4"/>
  <c r="N70" i="4"/>
  <c r="O70" i="4"/>
  <c r="P70" i="4"/>
  <c r="Q70" i="4"/>
  <c r="H71" i="4"/>
  <c r="I71" i="4"/>
  <c r="J71" i="4"/>
  <c r="K71" i="4"/>
  <c r="L71" i="4"/>
  <c r="M71" i="4"/>
  <c r="N71" i="4"/>
  <c r="O71" i="4"/>
  <c r="P71" i="4"/>
  <c r="Q71" i="4"/>
  <c r="H72" i="4"/>
  <c r="I72" i="4"/>
  <c r="J72" i="4"/>
  <c r="K72" i="4"/>
  <c r="L72" i="4"/>
  <c r="M72" i="4"/>
  <c r="N72" i="4"/>
  <c r="O72" i="4"/>
  <c r="P72" i="4"/>
  <c r="Q72" i="4"/>
  <c r="H73" i="4"/>
  <c r="I73" i="4"/>
  <c r="J73" i="4"/>
  <c r="K73" i="4"/>
  <c r="L73" i="4"/>
  <c r="M73" i="4"/>
  <c r="N73" i="4"/>
  <c r="O73" i="4"/>
  <c r="P73" i="4"/>
  <c r="Q73" i="4"/>
  <c r="H74" i="4"/>
  <c r="I74" i="4"/>
  <c r="J74" i="4"/>
  <c r="K74" i="4"/>
  <c r="L74" i="4"/>
  <c r="M74" i="4"/>
  <c r="N74" i="4"/>
  <c r="O74" i="4"/>
  <c r="P74" i="4"/>
  <c r="Q74" i="4"/>
  <c r="H75" i="4"/>
  <c r="I75" i="4"/>
  <c r="J75" i="4"/>
  <c r="K75" i="4"/>
  <c r="L75" i="4"/>
  <c r="M75" i="4"/>
  <c r="N75" i="4"/>
  <c r="O75" i="4"/>
  <c r="P75" i="4"/>
  <c r="Q75" i="4"/>
  <c r="H76" i="4"/>
  <c r="I76" i="4"/>
  <c r="J76" i="4"/>
  <c r="K76" i="4"/>
  <c r="L76" i="4"/>
  <c r="M76" i="4"/>
  <c r="N76" i="4"/>
  <c r="O76" i="4"/>
  <c r="P76" i="4"/>
  <c r="Q76" i="4"/>
  <c r="H77" i="4"/>
  <c r="I77" i="4"/>
  <c r="J77" i="4"/>
  <c r="K77" i="4"/>
  <c r="L77" i="4"/>
  <c r="M77" i="4"/>
  <c r="N77" i="4"/>
  <c r="O77" i="4"/>
  <c r="P77" i="4"/>
  <c r="Q77" i="4"/>
  <c r="H78" i="4"/>
  <c r="I78" i="4"/>
  <c r="J78" i="4"/>
  <c r="K78" i="4"/>
  <c r="L78" i="4"/>
  <c r="M78" i="4"/>
  <c r="N78" i="4"/>
  <c r="O78" i="4"/>
  <c r="P78" i="4"/>
  <c r="Q78" i="4"/>
  <c r="H79" i="4"/>
  <c r="I79" i="4"/>
  <c r="J79" i="4"/>
  <c r="K79" i="4"/>
  <c r="L79" i="4"/>
  <c r="M79" i="4"/>
  <c r="N79" i="4"/>
  <c r="O79" i="4"/>
  <c r="P79" i="4"/>
  <c r="Q79" i="4"/>
  <c r="H80" i="4"/>
  <c r="I80" i="4"/>
  <c r="J80" i="4"/>
  <c r="K80" i="4"/>
  <c r="L80" i="4"/>
  <c r="M80" i="4"/>
  <c r="N80" i="4"/>
  <c r="O80" i="4"/>
  <c r="P80" i="4"/>
  <c r="Q80" i="4"/>
  <c r="H81" i="4"/>
  <c r="I81" i="4"/>
  <c r="J81" i="4"/>
  <c r="K81" i="4"/>
  <c r="L81" i="4"/>
  <c r="M81" i="4"/>
  <c r="N81" i="4"/>
  <c r="O81" i="4"/>
  <c r="P81" i="4"/>
  <c r="Q81" i="4"/>
  <c r="H82" i="4"/>
  <c r="I82" i="4"/>
  <c r="J82" i="4"/>
  <c r="K82" i="4"/>
  <c r="L82" i="4"/>
  <c r="M82" i="4"/>
  <c r="N82" i="4"/>
  <c r="O82" i="4"/>
  <c r="P82" i="4"/>
  <c r="Q82" i="4"/>
  <c r="H83" i="4"/>
  <c r="I83" i="4"/>
  <c r="J83" i="4"/>
  <c r="K83" i="4"/>
  <c r="L83" i="4"/>
  <c r="M83" i="4"/>
  <c r="N83" i="4"/>
  <c r="O83" i="4"/>
  <c r="P83" i="4"/>
  <c r="Q83" i="4"/>
  <c r="H84" i="4"/>
  <c r="I84" i="4"/>
  <c r="J84" i="4"/>
  <c r="K84" i="4"/>
  <c r="L84" i="4"/>
  <c r="M84" i="4"/>
  <c r="N84" i="4"/>
  <c r="O84" i="4"/>
  <c r="P84" i="4"/>
  <c r="Q84" i="4"/>
  <c r="H85" i="4"/>
  <c r="I85" i="4"/>
  <c r="J85" i="4"/>
  <c r="K85" i="4"/>
  <c r="L85" i="4"/>
  <c r="M85" i="4"/>
  <c r="N85" i="4"/>
  <c r="O85" i="4"/>
  <c r="P85" i="4"/>
  <c r="Q85" i="4"/>
  <c r="H86" i="4"/>
  <c r="I86" i="4"/>
  <c r="J86" i="4"/>
  <c r="K86" i="4"/>
  <c r="L86" i="4"/>
  <c r="M86" i="4"/>
  <c r="N86" i="4"/>
  <c r="O86" i="4"/>
  <c r="P86" i="4"/>
  <c r="Q86" i="4"/>
  <c r="H87" i="4"/>
  <c r="I87" i="4"/>
  <c r="J87" i="4"/>
  <c r="K87" i="4"/>
  <c r="L87" i="4"/>
  <c r="M87" i="4"/>
  <c r="N87" i="4"/>
  <c r="O87" i="4"/>
  <c r="P87" i="4"/>
  <c r="Q87" i="4"/>
  <c r="H88" i="4"/>
  <c r="I88" i="4"/>
  <c r="J88" i="4"/>
  <c r="K88" i="4"/>
  <c r="L88" i="4"/>
  <c r="M88" i="4"/>
  <c r="N88" i="4"/>
  <c r="O88" i="4"/>
  <c r="P88" i="4"/>
  <c r="Q88" i="4"/>
  <c r="H89" i="4"/>
  <c r="I89" i="4"/>
  <c r="J89" i="4"/>
  <c r="K89" i="4"/>
  <c r="L89" i="4"/>
  <c r="M89" i="4"/>
  <c r="N89" i="4"/>
  <c r="O89" i="4"/>
  <c r="P89" i="4"/>
  <c r="Q89" i="4"/>
  <c r="H90" i="4"/>
  <c r="I90" i="4"/>
  <c r="J90" i="4"/>
  <c r="K90" i="4"/>
  <c r="L90" i="4"/>
  <c r="M90" i="4"/>
  <c r="N90" i="4"/>
  <c r="O90" i="4"/>
  <c r="P90" i="4"/>
  <c r="Q90" i="4"/>
  <c r="H91" i="4"/>
  <c r="I91" i="4"/>
  <c r="J91" i="4"/>
  <c r="K91" i="4"/>
  <c r="L91" i="4"/>
  <c r="M91" i="4"/>
  <c r="N91" i="4"/>
  <c r="O91" i="4"/>
  <c r="P91" i="4"/>
  <c r="Q91" i="4"/>
  <c r="H92" i="4"/>
  <c r="I92" i="4"/>
  <c r="J92" i="4"/>
  <c r="K92" i="4"/>
  <c r="L92" i="4"/>
  <c r="M92" i="4"/>
  <c r="N92" i="4"/>
  <c r="O92" i="4"/>
  <c r="P92" i="4"/>
  <c r="Q92" i="4"/>
  <c r="H93" i="4"/>
  <c r="I93" i="4"/>
  <c r="J93" i="4"/>
  <c r="K93" i="4"/>
  <c r="L93" i="4"/>
  <c r="M93" i="4"/>
  <c r="N93" i="4"/>
  <c r="O93" i="4"/>
  <c r="P93" i="4"/>
  <c r="Q93" i="4"/>
  <c r="H94" i="4"/>
  <c r="I94" i="4"/>
  <c r="J94" i="4"/>
  <c r="K94" i="4"/>
  <c r="L94" i="4"/>
  <c r="M94" i="4"/>
  <c r="N94" i="4"/>
  <c r="O94" i="4"/>
  <c r="P94" i="4"/>
  <c r="Q94" i="4"/>
  <c r="H95" i="4"/>
  <c r="I95" i="4"/>
  <c r="J95" i="4"/>
  <c r="K95" i="4"/>
  <c r="L95" i="4"/>
  <c r="M95" i="4"/>
  <c r="N95" i="4"/>
  <c r="O95" i="4"/>
  <c r="P95" i="4"/>
  <c r="Q95" i="4"/>
  <c r="H96" i="4"/>
  <c r="I96" i="4"/>
  <c r="J96" i="4"/>
  <c r="K96" i="4"/>
  <c r="L96" i="4"/>
  <c r="M96" i="4"/>
  <c r="N96" i="4"/>
  <c r="O96" i="4"/>
  <c r="P96" i="4"/>
  <c r="Q96" i="4"/>
  <c r="H97" i="4"/>
  <c r="I97" i="4"/>
  <c r="J97" i="4"/>
  <c r="K97" i="4"/>
  <c r="L97" i="4"/>
  <c r="M97" i="4"/>
  <c r="N97" i="4"/>
  <c r="O97" i="4"/>
  <c r="P97" i="4"/>
  <c r="Q97" i="4"/>
  <c r="H98" i="4"/>
  <c r="I98" i="4"/>
  <c r="J98" i="4"/>
  <c r="K98" i="4"/>
  <c r="M98" i="4"/>
  <c r="N98" i="4"/>
  <c r="O98" i="4"/>
  <c r="P98" i="4"/>
  <c r="Q98" i="4"/>
  <c r="H99" i="4"/>
  <c r="I99" i="4"/>
  <c r="J99" i="4"/>
  <c r="K99" i="4"/>
  <c r="L99" i="4"/>
  <c r="M99" i="4"/>
  <c r="N99" i="4"/>
  <c r="O99" i="4"/>
  <c r="P99" i="4"/>
  <c r="Q99" i="4"/>
  <c r="H100" i="4"/>
  <c r="I100" i="4"/>
  <c r="J100" i="4"/>
  <c r="K100" i="4"/>
  <c r="L100" i="4"/>
  <c r="M100" i="4"/>
  <c r="N100" i="4"/>
  <c r="O100" i="4"/>
  <c r="P100" i="4"/>
  <c r="Q100" i="4"/>
  <c r="H101" i="4"/>
  <c r="I101" i="4"/>
  <c r="J101" i="4"/>
  <c r="K101" i="4"/>
  <c r="L101" i="4"/>
  <c r="M101" i="4"/>
  <c r="N101" i="4"/>
  <c r="O101" i="4"/>
  <c r="P101" i="4"/>
  <c r="Q101" i="4"/>
  <c r="H102" i="4"/>
  <c r="I102" i="4"/>
  <c r="J102" i="4"/>
  <c r="K102" i="4"/>
  <c r="L102" i="4"/>
  <c r="M102" i="4"/>
  <c r="N102" i="4"/>
  <c r="O102" i="4"/>
  <c r="P102" i="4"/>
  <c r="Q102" i="4"/>
  <c r="I3" i="4"/>
  <c r="J3" i="4"/>
  <c r="K3" i="4"/>
  <c r="L3" i="4"/>
  <c r="M3" i="4"/>
  <c r="N3" i="4"/>
  <c r="O105" i="4" s="1" a="1"/>
  <c r="O105" i="4" s="1"/>
  <c r="O3" i="4"/>
  <c r="P3" i="4"/>
  <c r="Q3" i="4"/>
  <c r="H3" i="4"/>
  <c r="K101" i="3"/>
  <c r="L101" i="3"/>
  <c r="M101" i="3"/>
  <c r="N101" i="3"/>
  <c r="O101" i="3"/>
  <c r="P101" i="3"/>
  <c r="Q101" i="3"/>
  <c r="K3" i="3"/>
  <c r="L3" i="3"/>
  <c r="M3" i="3"/>
  <c r="N3" i="3"/>
  <c r="O3" i="3"/>
  <c r="P3" i="3"/>
  <c r="Q3" i="3"/>
  <c r="K4" i="3"/>
  <c r="L4" i="3"/>
  <c r="M4" i="3"/>
  <c r="N4" i="3"/>
  <c r="O4" i="3"/>
  <c r="P4" i="3"/>
  <c r="Q4" i="3"/>
  <c r="K5" i="3"/>
  <c r="L5" i="3"/>
  <c r="M5" i="3"/>
  <c r="N5" i="3"/>
  <c r="O5" i="3"/>
  <c r="P5" i="3"/>
  <c r="Q5" i="3"/>
  <c r="K6" i="3"/>
  <c r="L6" i="3"/>
  <c r="M6" i="3"/>
  <c r="N6" i="3"/>
  <c r="O6" i="3"/>
  <c r="P6" i="3"/>
  <c r="Q6" i="3"/>
  <c r="K7" i="3"/>
  <c r="L7" i="3"/>
  <c r="M7" i="3"/>
  <c r="N7" i="3"/>
  <c r="O7" i="3"/>
  <c r="P7" i="3"/>
  <c r="Q7" i="3"/>
  <c r="K8" i="3"/>
  <c r="L8" i="3"/>
  <c r="M8" i="3"/>
  <c r="N8" i="3"/>
  <c r="O8" i="3"/>
  <c r="P8" i="3"/>
  <c r="Q8" i="3"/>
  <c r="K9" i="3"/>
  <c r="L9" i="3"/>
  <c r="M9" i="3"/>
  <c r="N9" i="3"/>
  <c r="O9" i="3"/>
  <c r="P9" i="3"/>
  <c r="Q9" i="3"/>
  <c r="K10" i="3"/>
  <c r="L10" i="3"/>
  <c r="M10" i="3"/>
  <c r="N10" i="3"/>
  <c r="O10" i="3"/>
  <c r="P10" i="3"/>
  <c r="Q10" i="3"/>
  <c r="K11" i="3"/>
  <c r="L11" i="3"/>
  <c r="M11" i="3"/>
  <c r="N11" i="3"/>
  <c r="O11" i="3"/>
  <c r="P11" i="3"/>
  <c r="Q11" i="3"/>
  <c r="K12" i="3"/>
  <c r="L12" i="3"/>
  <c r="M12" i="3"/>
  <c r="N12" i="3"/>
  <c r="O12" i="3"/>
  <c r="P12" i="3"/>
  <c r="Q12" i="3"/>
  <c r="K13" i="3"/>
  <c r="L13" i="3"/>
  <c r="M13" i="3"/>
  <c r="N13" i="3"/>
  <c r="O13" i="3"/>
  <c r="P13" i="3"/>
  <c r="Q13" i="3"/>
  <c r="K14" i="3"/>
  <c r="L14" i="3"/>
  <c r="M14" i="3"/>
  <c r="N14" i="3"/>
  <c r="O14" i="3"/>
  <c r="P14" i="3"/>
  <c r="Q14" i="3"/>
  <c r="K15" i="3"/>
  <c r="L15" i="3"/>
  <c r="M15" i="3"/>
  <c r="N15" i="3"/>
  <c r="O15" i="3"/>
  <c r="P15" i="3"/>
  <c r="Q15" i="3"/>
  <c r="K16" i="3"/>
  <c r="L16" i="3"/>
  <c r="M16" i="3"/>
  <c r="N16" i="3"/>
  <c r="O16" i="3"/>
  <c r="P16" i="3"/>
  <c r="Q16" i="3"/>
  <c r="K17" i="3"/>
  <c r="L17" i="3"/>
  <c r="M17" i="3"/>
  <c r="N17" i="3"/>
  <c r="O17" i="3"/>
  <c r="P17" i="3"/>
  <c r="Q17" i="3"/>
  <c r="K18" i="3"/>
  <c r="L18" i="3"/>
  <c r="M18" i="3"/>
  <c r="N18" i="3"/>
  <c r="O18" i="3"/>
  <c r="P18" i="3"/>
  <c r="Q18" i="3"/>
  <c r="K19" i="3"/>
  <c r="L19" i="3"/>
  <c r="M19" i="3"/>
  <c r="N19" i="3"/>
  <c r="O19" i="3"/>
  <c r="P19" i="3"/>
  <c r="Q19" i="3"/>
  <c r="K20" i="3"/>
  <c r="L20" i="3"/>
  <c r="M20" i="3"/>
  <c r="N20" i="3"/>
  <c r="O20" i="3"/>
  <c r="P20" i="3"/>
  <c r="Q20" i="3"/>
  <c r="K21" i="3"/>
  <c r="L21" i="3"/>
  <c r="M21" i="3"/>
  <c r="N21" i="3"/>
  <c r="O21" i="3"/>
  <c r="P21" i="3"/>
  <c r="Q21" i="3"/>
  <c r="K22" i="3"/>
  <c r="L22" i="3"/>
  <c r="M22" i="3"/>
  <c r="N22" i="3"/>
  <c r="O22" i="3"/>
  <c r="P22" i="3"/>
  <c r="Q22" i="3"/>
  <c r="K23" i="3"/>
  <c r="L23" i="3"/>
  <c r="M23" i="3"/>
  <c r="N23" i="3"/>
  <c r="O23" i="3"/>
  <c r="P23" i="3"/>
  <c r="Q23" i="3"/>
  <c r="K24" i="3"/>
  <c r="L24" i="3"/>
  <c r="M24" i="3"/>
  <c r="N24" i="3"/>
  <c r="O24" i="3"/>
  <c r="P24" i="3"/>
  <c r="Q24" i="3"/>
  <c r="K25" i="3"/>
  <c r="L25" i="3"/>
  <c r="M25" i="3"/>
  <c r="N25" i="3"/>
  <c r="O25" i="3"/>
  <c r="P25" i="3"/>
  <c r="Q25" i="3"/>
  <c r="K26" i="3"/>
  <c r="L26" i="3"/>
  <c r="M26" i="3"/>
  <c r="N26" i="3"/>
  <c r="O26" i="3"/>
  <c r="P26" i="3"/>
  <c r="Q26" i="3"/>
  <c r="K27" i="3"/>
  <c r="L27" i="3"/>
  <c r="M27" i="3"/>
  <c r="N27" i="3"/>
  <c r="O27" i="3"/>
  <c r="P27" i="3"/>
  <c r="Q27" i="3"/>
  <c r="K28" i="3"/>
  <c r="L28" i="3"/>
  <c r="M28" i="3"/>
  <c r="N28" i="3"/>
  <c r="O28" i="3"/>
  <c r="P28" i="3"/>
  <c r="Q28" i="3"/>
  <c r="K29" i="3"/>
  <c r="L29" i="3"/>
  <c r="M29" i="3"/>
  <c r="N29" i="3"/>
  <c r="O29" i="3"/>
  <c r="P29" i="3"/>
  <c r="Q29" i="3"/>
  <c r="K30" i="3"/>
  <c r="L30" i="3"/>
  <c r="M30" i="3"/>
  <c r="N30" i="3"/>
  <c r="O30" i="3"/>
  <c r="P30" i="3"/>
  <c r="Q30" i="3"/>
  <c r="K31" i="3"/>
  <c r="L31" i="3"/>
  <c r="M31" i="3"/>
  <c r="N31" i="3"/>
  <c r="O31" i="3"/>
  <c r="P31" i="3"/>
  <c r="Q31" i="3"/>
  <c r="K32" i="3"/>
  <c r="L32" i="3"/>
  <c r="M32" i="3"/>
  <c r="N32" i="3"/>
  <c r="O32" i="3"/>
  <c r="P32" i="3"/>
  <c r="Q32" i="3"/>
  <c r="K33" i="3"/>
  <c r="L33" i="3"/>
  <c r="M33" i="3"/>
  <c r="N33" i="3"/>
  <c r="O33" i="3"/>
  <c r="P33" i="3"/>
  <c r="Q33" i="3"/>
  <c r="K34" i="3"/>
  <c r="L34" i="3"/>
  <c r="M34" i="3"/>
  <c r="N34" i="3"/>
  <c r="O34" i="3"/>
  <c r="P34" i="3"/>
  <c r="Q34" i="3"/>
  <c r="K35" i="3"/>
  <c r="L35" i="3"/>
  <c r="M35" i="3"/>
  <c r="N35" i="3"/>
  <c r="O35" i="3"/>
  <c r="P35" i="3"/>
  <c r="Q35" i="3"/>
  <c r="K36" i="3"/>
  <c r="L36" i="3"/>
  <c r="M36" i="3"/>
  <c r="N36" i="3"/>
  <c r="O36" i="3"/>
  <c r="P36" i="3"/>
  <c r="Q36" i="3"/>
  <c r="K37" i="3"/>
  <c r="L37" i="3"/>
  <c r="M37" i="3"/>
  <c r="N37" i="3"/>
  <c r="O37" i="3"/>
  <c r="P37" i="3"/>
  <c r="Q37" i="3"/>
  <c r="K38" i="3"/>
  <c r="L38" i="3"/>
  <c r="M38" i="3"/>
  <c r="N38" i="3"/>
  <c r="O38" i="3"/>
  <c r="P38" i="3"/>
  <c r="Q38" i="3"/>
  <c r="K39" i="3"/>
  <c r="L39" i="3"/>
  <c r="M39" i="3"/>
  <c r="N39" i="3"/>
  <c r="O39" i="3"/>
  <c r="P39" i="3"/>
  <c r="Q39" i="3"/>
  <c r="K40" i="3"/>
  <c r="L40" i="3"/>
  <c r="M40" i="3"/>
  <c r="N40" i="3"/>
  <c r="O40" i="3"/>
  <c r="P40" i="3"/>
  <c r="Q40" i="3"/>
  <c r="K41" i="3"/>
  <c r="L41" i="3"/>
  <c r="M41" i="3"/>
  <c r="N41" i="3"/>
  <c r="O41" i="3"/>
  <c r="P41" i="3"/>
  <c r="Q41" i="3"/>
  <c r="K42" i="3"/>
  <c r="L42" i="3"/>
  <c r="M42" i="3"/>
  <c r="N42" i="3"/>
  <c r="O42" i="3"/>
  <c r="P42" i="3"/>
  <c r="Q42" i="3"/>
  <c r="K43" i="3"/>
  <c r="L43" i="3"/>
  <c r="M43" i="3"/>
  <c r="N43" i="3"/>
  <c r="O43" i="3"/>
  <c r="P43" i="3"/>
  <c r="Q43" i="3"/>
  <c r="K44" i="3"/>
  <c r="L44" i="3"/>
  <c r="M44" i="3"/>
  <c r="N44" i="3"/>
  <c r="O44" i="3"/>
  <c r="P44" i="3"/>
  <c r="Q44" i="3"/>
  <c r="K45" i="3"/>
  <c r="L45" i="3"/>
  <c r="M45" i="3"/>
  <c r="N45" i="3"/>
  <c r="O45" i="3"/>
  <c r="P45" i="3"/>
  <c r="Q45" i="3"/>
  <c r="K46" i="3"/>
  <c r="L46" i="3"/>
  <c r="M46" i="3"/>
  <c r="N46" i="3"/>
  <c r="O46" i="3"/>
  <c r="P46" i="3"/>
  <c r="Q46" i="3"/>
  <c r="K47" i="3"/>
  <c r="L47" i="3"/>
  <c r="M47" i="3"/>
  <c r="N47" i="3"/>
  <c r="O47" i="3"/>
  <c r="P47" i="3"/>
  <c r="Q47" i="3"/>
  <c r="K48" i="3"/>
  <c r="L48" i="3"/>
  <c r="M48" i="3"/>
  <c r="N48" i="3"/>
  <c r="O48" i="3"/>
  <c r="P48" i="3"/>
  <c r="Q48" i="3"/>
  <c r="K49" i="3"/>
  <c r="L49" i="3"/>
  <c r="M49" i="3"/>
  <c r="N49" i="3"/>
  <c r="O49" i="3"/>
  <c r="P49" i="3"/>
  <c r="Q49" i="3"/>
  <c r="K50" i="3"/>
  <c r="L50" i="3"/>
  <c r="M50" i="3"/>
  <c r="N50" i="3"/>
  <c r="O50" i="3"/>
  <c r="P50" i="3"/>
  <c r="Q50" i="3"/>
  <c r="K51" i="3"/>
  <c r="L51" i="3"/>
  <c r="M51" i="3"/>
  <c r="N51" i="3"/>
  <c r="O51" i="3"/>
  <c r="P51" i="3"/>
  <c r="Q51" i="3"/>
  <c r="K52" i="3"/>
  <c r="L52" i="3"/>
  <c r="M52" i="3"/>
  <c r="N52" i="3"/>
  <c r="O52" i="3"/>
  <c r="P52" i="3"/>
  <c r="Q52" i="3"/>
  <c r="K53" i="3"/>
  <c r="L53" i="3"/>
  <c r="M53" i="3"/>
  <c r="N53" i="3"/>
  <c r="O53" i="3"/>
  <c r="P53" i="3"/>
  <c r="Q53" i="3"/>
  <c r="K54" i="3"/>
  <c r="L54" i="3"/>
  <c r="M54" i="3"/>
  <c r="N54" i="3"/>
  <c r="O54" i="3"/>
  <c r="P54" i="3"/>
  <c r="Q54" i="3"/>
  <c r="K55" i="3"/>
  <c r="L55" i="3"/>
  <c r="M55" i="3"/>
  <c r="N55" i="3"/>
  <c r="O55" i="3"/>
  <c r="P55" i="3"/>
  <c r="Q55" i="3"/>
  <c r="K56" i="3"/>
  <c r="L56" i="3"/>
  <c r="M56" i="3"/>
  <c r="N56" i="3"/>
  <c r="O56" i="3"/>
  <c r="P56" i="3"/>
  <c r="Q56" i="3"/>
  <c r="K57" i="3"/>
  <c r="L57" i="3"/>
  <c r="M57" i="3"/>
  <c r="N57" i="3"/>
  <c r="O57" i="3"/>
  <c r="P57" i="3"/>
  <c r="Q57" i="3"/>
  <c r="K58" i="3"/>
  <c r="L58" i="3"/>
  <c r="M58" i="3"/>
  <c r="N58" i="3"/>
  <c r="O58" i="3"/>
  <c r="P58" i="3"/>
  <c r="Q58" i="3"/>
  <c r="K59" i="3"/>
  <c r="L59" i="3"/>
  <c r="M59" i="3"/>
  <c r="N59" i="3"/>
  <c r="O59" i="3"/>
  <c r="P59" i="3"/>
  <c r="Q59" i="3"/>
  <c r="K60" i="3"/>
  <c r="L60" i="3"/>
  <c r="M60" i="3"/>
  <c r="N60" i="3"/>
  <c r="O60" i="3"/>
  <c r="P60" i="3"/>
  <c r="Q60" i="3"/>
  <c r="K61" i="3"/>
  <c r="L61" i="3"/>
  <c r="M61" i="3"/>
  <c r="N61" i="3"/>
  <c r="O61" i="3"/>
  <c r="P61" i="3"/>
  <c r="Q61" i="3"/>
  <c r="K62" i="3"/>
  <c r="L62" i="3"/>
  <c r="M62" i="3"/>
  <c r="N62" i="3"/>
  <c r="O62" i="3"/>
  <c r="P62" i="3"/>
  <c r="Q62" i="3"/>
  <c r="K63" i="3"/>
  <c r="L63" i="3"/>
  <c r="M63" i="3"/>
  <c r="N63" i="3"/>
  <c r="O63" i="3"/>
  <c r="P63" i="3"/>
  <c r="Q63" i="3"/>
  <c r="K64" i="3"/>
  <c r="L64" i="3"/>
  <c r="M64" i="3"/>
  <c r="N64" i="3"/>
  <c r="O64" i="3"/>
  <c r="P64" i="3"/>
  <c r="Q64" i="3"/>
  <c r="K65" i="3"/>
  <c r="L65" i="3"/>
  <c r="M65" i="3"/>
  <c r="N65" i="3"/>
  <c r="O65" i="3"/>
  <c r="P65" i="3"/>
  <c r="Q65" i="3"/>
  <c r="K66" i="3"/>
  <c r="L66" i="3"/>
  <c r="M66" i="3"/>
  <c r="N66" i="3"/>
  <c r="O66" i="3"/>
  <c r="P66" i="3"/>
  <c r="Q66" i="3"/>
  <c r="K67" i="3"/>
  <c r="L67" i="3"/>
  <c r="M67" i="3"/>
  <c r="N67" i="3"/>
  <c r="O67" i="3"/>
  <c r="P67" i="3"/>
  <c r="Q67" i="3"/>
  <c r="K68" i="3"/>
  <c r="L68" i="3"/>
  <c r="M68" i="3"/>
  <c r="N68" i="3"/>
  <c r="O68" i="3"/>
  <c r="P68" i="3"/>
  <c r="Q68" i="3"/>
  <c r="K69" i="3"/>
  <c r="L69" i="3"/>
  <c r="M69" i="3"/>
  <c r="N69" i="3"/>
  <c r="O69" i="3"/>
  <c r="P69" i="3"/>
  <c r="Q69" i="3"/>
  <c r="K70" i="3"/>
  <c r="L70" i="3"/>
  <c r="M70" i="3"/>
  <c r="N70" i="3"/>
  <c r="O70" i="3"/>
  <c r="P70" i="3"/>
  <c r="Q70" i="3"/>
  <c r="K71" i="3"/>
  <c r="L71" i="3"/>
  <c r="M71" i="3"/>
  <c r="N71" i="3"/>
  <c r="O71" i="3"/>
  <c r="P71" i="3"/>
  <c r="Q71" i="3"/>
  <c r="K72" i="3"/>
  <c r="L72" i="3"/>
  <c r="M72" i="3"/>
  <c r="N72" i="3"/>
  <c r="O72" i="3"/>
  <c r="P72" i="3"/>
  <c r="Q72" i="3"/>
  <c r="K73" i="3"/>
  <c r="L73" i="3"/>
  <c r="M73" i="3"/>
  <c r="N73" i="3"/>
  <c r="O73" i="3"/>
  <c r="P73" i="3"/>
  <c r="Q73" i="3"/>
  <c r="K74" i="3"/>
  <c r="L74" i="3"/>
  <c r="M74" i="3"/>
  <c r="N74" i="3"/>
  <c r="O74" i="3"/>
  <c r="P74" i="3"/>
  <c r="Q74" i="3"/>
  <c r="K75" i="3"/>
  <c r="L75" i="3"/>
  <c r="M75" i="3"/>
  <c r="N75" i="3"/>
  <c r="O75" i="3"/>
  <c r="P75" i="3"/>
  <c r="Q75" i="3"/>
  <c r="K76" i="3"/>
  <c r="L76" i="3"/>
  <c r="M76" i="3"/>
  <c r="N76" i="3"/>
  <c r="O76" i="3"/>
  <c r="P76" i="3"/>
  <c r="Q76" i="3"/>
  <c r="K77" i="3"/>
  <c r="L77" i="3"/>
  <c r="M77" i="3"/>
  <c r="N77" i="3"/>
  <c r="O77" i="3"/>
  <c r="P77" i="3"/>
  <c r="Q77" i="3"/>
  <c r="K78" i="3"/>
  <c r="L78" i="3"/>
  <c r="M78" i="3"/>
  <c r="N78" i="3"/>
  <c r="O78" i="3"/>
  <c r="P78" i="3"/>
  <c r="Q78" i="3"/>
  <c r="K79" i="3"/>
  <c r="L79" i="3"/>
  <c r="M79" i="3"/>
  <c r="N79" i="3"/>
  <c r="O79" i="3"/>
  <c r="P79" i="3"/>
  <c r="Q79" i="3"/>
  <c r="K80" i="3"/>
  <c r="L80" i="3"/>
  <c r="M80" i="3"/>
  <c r="N80" i="3"/>
  <c r="O80" i="3"/>
  <c r="P80" i="3"/>
  <c r="Q80" i="3"/>
  <c r="K81" i="3"/>
  <c r="L81" i="3"/>
  <c r="M81" i="3"/>
  <c r="N81" i="3"/>
  <c r="O81" i="3"/>
  <c r="P81" i="3"/>
  <c r="Q81" i="3"/>
  <c r="K82" i="3"/>
  <c r="L82" i="3"/>
  <c r="M82" i="3"/>
  <c r="N82" i="3"/>
  <c r="O82" i="3"/>
  <c r="P82" i="3"/>
  <c r="Q82" i="3"/>
  <c r="K83" i="3"/>
  <c r="L83" i="3"/>
  <c r="M83" i="3"/>
  <c r="N83" i="3"/>
  <c r="O83" i="3"/>
  <c r="P83" i="3"/>
  <c r="Q83" i="3"/>
  <c r="K84" i="3"/>
  <c r="L84" i="3"/>
  <c r="M84" i="3"/>
  <c r="N84" i="3"/>
  <c r="O84" i="3"/>
  <c r="P84" i="3"/>
  <c r="Q84" i="3"/>
  <c r="K85" i="3"/>
  <c r="L85" i="3"/>
  <c r="M85" i="3"/>
  <c r="N85" i="3"/>
  <c r="O85" i="3"/>
  <c r="P85" i="3"/>
  <c r="Q85" i="3"/>
  <c r="K86" i="3"/>
  <c r="L86" i="3"/>
  <c r="M86" i="3"/>
  <c r="N86" i="3"/>
  <c r="O86" i="3"/>
  <c r="P86" i="3"/>
  <c r="Q86" i="3"/>
  <c r="K87" i="3"/>
  <c r="L87" i="3"/>
  <c r="M87" i="3"/>
  <c r="N87" i="3"/>
  <c r="O87" i="3"/>
  <c r="P87" i="3"/>
  <c r="Q87" i="3"/>
  <c r="K88" i="3"/>
  <c r="L88" i="3"/>
  <c r="M88" i="3"/>
  <c r="N88" i="3"/>
  <c r="O88" i="3"/>
  <c r="P88" i="3"/>
  <c r="Q88" i="3"/>
  <c r="K89" i="3"/>
  <c r="L89" i="3"/>
  <c r="M89" i="3"/>
  <c r="N89" i="3"/>
  <c r="O89" i="3"/>
  <c r="P89" i="3"/>
  <c r="Q89" i="3"/>
  <c r="K90" i="3"/>
  <c r="L90" i="3"/>
  <c r="M90" i="3"/>
  <c r="N90" i="3"/>
  <c r="O90" i="3"/>
  <c r="P90" i="3"/>
  <c r="Q90" i="3"/>
  <c r="K91" i="3"/>
  <c r="L91" i="3"/>
  <c r="M91" i="3"/>
  <c r="N91" i="3"/>
  <c r="O91" i="3"/>
  <c r="P91" i="3"/>
  <c r="Q91" i="3"/>
  <c r="K92" i="3"/>
  <c r="L92" i="3"/>
  <c r="M92" i="3"/>
  <c r="N92" i="3"/>
  <c r="O92" i="3"/>
  <c r="P92" i="3"/>
  <c r="Q92" i="3"/>
  <c r="K93" i="3"/>
  <c r="L93" i="3"/>
  <c r="M93" i="3"/>
  <c r="N93" i="3"/>
  <c r="O93" i="3"/>
  <c r="P93" i="3"/>
  <c r="Q93" i="3"/>
  <c r="K94" i="3"/>
  <c r="L94" i="3"/>
  <c r="M94" i="3"/>
  <c r="N94" i="3"/>
  <c r="O94" i="3"/>
  <c r="P94" i="3"/>
  <c r="Q94" i="3"/>
  <c r="K95" i="3"/>
  <c r="L95" i="3"/>
  <c r="M95" i="3"/>
  <c r="N95" i="3"/>
  <c r="O95" i="3"/>
  <c r="P95" i="3"/>
  <c r="Q95" i="3"/>
  <c r="K96" i="3"/>
  <c r="L96" i="3"/>
  <c r="M96" i="3"/>
  <c r="N96" i="3"/>
  <c r="O96" i="3"/>
  <c r="P96" i="3"/>
  <c r="Q96" i="3"/>
  <c r="K97" i="3"/>
  <c r="L97" i="3"/>
  <c r="M97" i="3"/>
  <c r="N97" i="3"/>
  <c r="O97" i="3"/>
  <c r="P97" i="3"/>
  <c r="Q97" i="3"/>
  <c r="K98" i="3"/>
  <c r="L98" i="3"/>
  <c r="M98" i="3"/>
  <c r="N98" i="3"/>
  <c r="O98" i="3"/>
  <c r="P98" i="3"/>
  <c r="Q98" i="3"/>
  <c r="K99" i="3"/>
  <c r="L99" i="3"/>
  <c r="M99" i="3"/>
  <c r="N99" i="3"/>
  <c r="O99" i="3"/>
  <c r="P99" i="3"/>
  <c r="Q99" i="3"/>
  <c r="K100" i="3"/>
  <c r="L100" i="3"/>
  <c r="M100" i="3"/>
  <c r="N100" i="3"/>
  <c r="O100" i="3"/>
  <c r="P100" i="3"/>
  <c r="Q100" i="3"/>
  <c r="L2" i="3"/>
  <c r="M2" i="3"/>
  <c r="N2" i="3"/>
  <c r="O2" i="3"/>
  <c r="P2" i="3"/>
  <c r="S104" i="3" s="1" a="1"/>
  <c r="S104" i="3" s="1"/>
  <c r="Q2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I19" i="2" a="1"/>
  <c r="I19" i="2" s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Q104" i="3" l="1" a="1"/>
  <c r="Q104" i="3" s="1"/>
  <c r="E104" i="3" a="1"/>
  <c r="E104" i="3" s="1"/>
  <c r="G104" i="3" a="1"/>
  <c r="G104" i="3" s="1"/>
  <c r="U104" i="3" a="1"/>
  <c r="U104" i="3" s="1"/>
  <c r="O104" i="3" a="1"/>
  <c r="O104" i="3" s="1"/>
  <c r="M104" i="3" a="1"/>
  <c r="M104" i="3" s="1"/>
  <c r="I104" i="3" a="1"/>
  <c r="I104" i="3" s="1"/>
  <c r="C104" i="3" a="1"/>
  <c r="E113" i="3" s="1"/>
  <c r="K104" i="3" a="1"/>
  <c r="K104" i="3" s="1"/>
  <c r="H4" i="6"/>
  <c r="S105" i="7" a="1"/>
  <c r="S105" i="7" s="1"/>
  <c r="Z4" i="7"/>
  <c r="U105" i="7" a="1"/>
  <c r="U105" i="7" s="1"/>
  <c r="Q105" i="7" a="1"/>
  <c r="Q105" i="7" s="1"/>
  <c r="M105" i="7" a="1"/>
  <c r="M105" i="7" s="1"/>
  <c r="W3" i="7"/>
  <c r="X3" i="7"/>
  <c r="O105" i="7" s="1" a="1"/>
  <c r="O105" i="7" s="1"/>
  <c r="E114" i="5"/>
  <c r="E115" i="5"/>
  <c r="E116" i="5"/>
  <c r="AD8" i="6"/>
  <c r="AD9" i="6" s="1"/>
  <c r="AA5" i="6"/>
  <c r="N5" i="6" s="1"/>
  <c r="Q5" i="6"/>
  <c r="Y5" i="6"/>
  <c r="L5" i="6" s="1"/>
  <c r="Z5" i="6"/>
  <c r="M5" i="6" s="1"/>
  <c r="AC5" i="6"/>
  <c r="AC6" i="6" s="1"/>
  <c r="X5" i="6"/>
  <c r="K5" i="6" s="1"/>
  <c r="Q4" i="6"/>
  <c r="AB6" i="6"/>
  <c r="O5" i="6"/>
  <c r="O4" i="6"/>
  <c r="J4" i="6"/>
  <c r="W5" i="6"/>
  <c r="I4" i="6"/>
  <c r="V5" i="6"/>
  <c r="Q6" i="6"/>
  <c r="E105" i="7" a="1"/>
  <c r="E105" i="7" s="1"/>
  <c r="U3" i="7"/>
  <c r="I105" i="7" s="1" a="1"/>
  <c r="I105" i="7" s="1"/>
  <c r="G105" i="7" a="1"/>
  <c r="G105" i="7" s="1"/>
  <c r="C105" i="7" a="1"/>
  <c r="K105" i="7" a="1"/>
  <c r="K105" i="7" s="1"/>
  <c r="E117" i="4"/>
  <c r="M105" i="5" a="1"/>
  <c r="M105" i="5" s="1"/>
  <c r="I105" i="5" a="1"/>
  <c r="I105" i="5" s="1"/>
  <c r="E105" i="5" a="1"/>
  <c r="E105" i="5" s="1"/>
  <c r="C115" i="5" s="1"/>
  <c r="O105" i="5" a="1"/>
  <c r="O105" i="5" s="1"/>
  <c r="G105" i="5" a="1"/>
  <c r="G105" i="5" s="1"/>
  <c r="C114" i="5" s="1"/>
  <c r="C115" i="4"/>
  <c r="C116" i="4"/>
  <c r="C117" i="4" s="1"/>
  <c r="C114" i="4"/>
  <c r="D117" i="4"/>
  <c r="U105" i="5" a="1"/>
  <c r="U105" i="5" s="1"/>
  <c r="Q105" i="5" a="1"/>
  <c r="Q105" i="5" s="1"/>
  <c r="K105" i="5" a="1"/>
  <c r="K105" i="5" s="1"/>
  <c r="M105" i="4" a="1"/>
  <c r="M105" i="4" s="1"/>
  <c r="Q105" i="4" a="1"/>
  <c r="Q105" i="4" s="1"/>
  <c r="D114" i="3" l="1"/>
  <c r="D115" i="3"/>
  <c r="D116" i="3" s="1"/>
  <c r="C104" i="3"/>
  <c r="C115" i="3" s="1"/>
  <c r="E115" i="3"/>
  <c r="D113" i="3"/>
  <c r="E114" i="3"/>
  <c r="C113" i="3"/>
  <c r="C114" i="3"/>
  <c r="C116" i="3" s="1"/>
  <c r="E116" i="3"/>
  <c r="AA6" i="6"/>
  <c r="U6" i="6"/>
  <c r="U7" i="6" s="1"/>
  <c r="U8" i="6" s="1"/>
  <c r="H5" i="6"/>
  <c r="E117" i="5"/>
  <c r="C105" i="7"/>
  <c r="C114" i="7" s="1"/>
  <c r="E114" i="7"/>
  <c r="D116" i="7"/>
  <c r="D115" i="7"/>
  <c r="D114" i="7"/>
  <c r="E116" i="7"/>
  <c r="E115" i="7"/>
  <c r="Y6" i="6"/>
  <c r="L6" i="6" s="1"/>
  <c r="Q8" i="6"/>
  <c r="X6" i="6"/>
  <c r="X7" i="6" s="1"/>
  <c r="H7" i="6"/>
  <c r="Z6" i="6"/>
  <c r="Z7" i="6" s="1"/>
  <c r="P5" i="6"/>
  <c r="J5" i="6"/>
  <c r="W6" i="6"/>
  <c r="AC7" i="6"/>
  <c r="P6" i="6"/>
  <c r="U9" i="6"/>
  <c r="H8" i="6"/>
  <c r="Q9" i="6"/>
  <c r="AD10" i="6"/>
  <c r="N6" i="6"/>
  <c r="AA7" i="6"/>
  <c r="I5" i="6"/>
  <c r="V6" i="6"/>
  <c r="AB7" i="6"/>
  <c r="O6" i="6"/>
  <c r="D115" i="5"/>
  <c r="D114" i="5"/>
  <c r="C116" i="5"/>
  <c r="C117" i="5" s="1"/>
  <c r="D116" i="5"/>
  <c r="D117" i="5" s="1"/>
  <c r="H6" i="6" l="1"/>
  <c r="Y7" i="6"/>
  <c r="L7" i="6" s="1"/>
  <c r="C115" i="7"/>
  <c r="C116" i="7"/>
  <c r="C117" i="7" s="1"/>
  <c r="K6" i="6"/>
  <c r="M6" i="6"/>
  <c r="Z8" i="6"/>
  <c r="M7" i="6"/>
  <c r="AD11" i="6"/>
  <c r="Q10" i="6"/>
  <c r="X8" i="6"/>
  <c r="K7" i="6"/>
  <c r="V7" i="6"/>
  <c r="I6" i="6"/>
  <c r="U10" i="6"/>
  <c r="H9" i="6"/>
  <c r="O7" i="6"/>
  <c r="AB8" i="6"/>
  <c r="AA8" i="6"/>
  <c r="N7" i="6"/>
  <c r="P7" i="6"/>
  <c r="AC8" i="6"/>
  <c r="W7" i="6"/>
  <c r="J6" i="6"/>
  <c r="D117" i="7"/>
  <c r="E117" i="7"/>
  <c r="Y8" i="6" l="1"/>
  <c r="U11" i="6"/>
  <c r="H10" i="6"/>
  <c r="V8" i="6"/>
  <c r="I7" i="6"/>
  <c r="X9" i="6"/>
  <c r="K8" i="6"/>
  <c r="AA9" i="6"/>
  <c r="N8" i="6"/>
  <c r="AD12" i="6"/>
  <c r="Q11" i="6"/>
  <c r="W8" i="6"/>
  <c r="J7" i="6"/>
  <c r="AC9" i="6"/>
  <c r="P8" i="6"/>
  <c r="AB9" i="6"/>
  <c r="O8" i="6"/>
  <c r="Z9" i="6"/>
  <c r="M8" i="6"/>
  <c r="Y9" i="6"/>
  <c r="L8" i="6"/>
  <c r="Y10" i="6" l="1"/>
  <c r="L9" i="6"/>
  <c r="X10" i="6"/>
  <c r="K9" i="6"/>
  <c r="AB10" i="6"/>
  <c r="O9" i="6"/>
  <c r="U12" i="6"/>
  <c r="H11" i="6"/>
  <c r="V9" i="6"/>
  <c r="I8" i="6"/>
  <c r="AA10" i="6"/>
  <c r="N9" i="6"/>
  <c r="AD13" i="6"/>
  <c r="Q12" i="6"/>
  <c r="Z10" i="6"/>
  <c r="M9" i="6"/>
  <c r="AC10" i="6"/>
  <c r="P9" i="6"/>
  <c r="W9" i="6"/>
  <c r="J8" i="6"/>
  <c r="AC11" i="6" l="1"/>
  <c r="P10" i="6"/>
  <c r="U13" i="6"/>
  <c r="H12" i="6"/>
  <c r="X11" i="6"/>
  <c r="K10" i="6"/>
  <c r="Y11" i="6"/>
  <c r="L10" i="6"/>
  <c r="Z11" i="6"/>
  <c r="M10" i="6"/>
  <c r="AB11" i="6"/>
  <c r="O10" i="6"/>
  <c r="AD14" i="6"/>
  <c r="Q13" i="6"/>
  <c r="AA11" i="6"/>
  <c r="N10" i="6"/>
  <c r="W10" i="6"/>
  <c r="J9" i="6"/>
  <c r="V10" i="6"/>
  <c r="I9" i="6"/>
  <c r="W11" i="6" l="1"/>
  <c r="J10" i="6"/>
  <c r="X12" i="6"/>
  <c r="K11" i="6"/>
  <c r="Y12" i="6"/>
  <c r="L11" i="6"/>
  <c r="AA12" i="6"/>
  <c r="N11" i="6"/>
  <c r="AB12" i="6"/>
  <c r="O11" i="6"/>
  <c r="U14" i="6"/>
  <c r="H13" i="6"/>
  <c r="AD15" i="6"/>
  <c r="Q14" i="6"/>
  <c r="AC12" i="6"/>
  <c r="P11" i="6"/>
  <c r="Z12" i="6"/>
  <c r="M11" i="6"/>
  <c r="V11" i="6"/>
  <c r="I10" i="6"/>
  <c r="AA13" i="6" l="1"/>
  <c r="N12" i="6"/>
  <c r="Y13" i="6"/>
  <c r="L12" i="6"/>
  <c r="AB13" i="6"/>
  <c r="O12" i="6"/>
  <c r="AC13" i="6"/>
  <c r="P12" i="6"/>
  <c r="Z13" i="6"/>
  <c r="M12" i="6"/>
  <c r="X13" i="6"/>
  <c r="K12" i="6"/>
  <c r="AD16" i="6"/>
  <c r="Q15" i="6"/>
  <c r="V12" i="6"/>
  <c r="I11" i="6"/>
  <c r="W12" i="6"/>
  <c r="J11" i="6"/>
  <c r="U15" i="6"/>
  <c r="H14" i="6"/>
  <c r="AB14" i="6" l="1"/>
  <c r="O13" i="6"/>
  <c r="Z14" i="6"/>
  <c r="M13" i="6"/>
  <c r="U16" i="6"/>
  <c r="H15" i="6"/>
  <c r="W13" i="6"/>
  <c r="J12" i="6"/>
  <c r="V13" i="6"/>
  <c r="I12" i="6"/>
  <c r="AA14" i="6"/>
  <c r="N13" i="6"/>
  <c r="AC14" i="6"/>
  <c r="P13" i="6"/>
  <c r="Y14" i="6"/>
  <c r="L13" i="6"/>
  <c r="AD17" i="6"/>
  <c r="Q16" i="6"/>
  <c r="X14" i="6"/>
  <c r="K13" i="6"/>
  <c r="X15" i="6" l="1"/>
  <c r="K14" i="6"/>
  <c r="AA15" i="6"/>
  <c r="N14" i="6"/>
  <c r="V14" i="6"/>
  <c r="I13" i="6"/>
  <c r="W14" i="6"/>
  <c r="AD18" i="6"/>
  <c r="Q17" i="6"/>
  <c r="U17" i="6"/>
  <c r="H16" i="6"/>
  <c r="Y15" i="6"/>
  <c r="L14" i="6"/>
  <c r="Z15" i="6"/>
  <c r="M14" i="6"/>
  <c r="AC15" i="6"/>
  <c r="P14" i="6"/>
  <c r="AB15" i="6"/>
  <c r="O14" i="6"/>
  <c r="U18" i="6" l="1"/>
  <c r="H17" i="6"/>
  <c r="AD19" i="6"/>
  <c r="Q18" i="6"/>
  <c r="AB16" i="6"/>
  <c r="O15" i="6"/>
  <c r="W15" i="6"/>
  <c r="J14" i="6"/>
  <c r="AC16" i="6"/>
  <c r="P15" i="6"/>
  <c r="V15" i="6"/>
  <c r="I14" i="6"/>
  <c r="Z16" i="6"/>
  <c r="M15" i="6"/>
  <c r="AA16" i="6"/>
  <c r="N15" i="6"/>
  <c r="Y16" i="6"/>
  <c r="L15" i="6"/>
  <c r="X16" i="6"/>
  <c r="K15" i="6"/>
  <c r="V16" i="6" l="1"/>
  <c r="I15" i="6"/>
  <c r="AB17" i="6"/>
  <c r="O16" i="6"/>
  <c r="AC17" i="6"/>
  <c r="P16" i="6"/>
  <c r="X17" i="6"/>
  <c r="K16" i="6"/>
  <c r="W16" i="6"/>
  <c r="J15" i="6"/>
  <c r="Y17" i="6"/>
  <c r="L16" i="6"/>
  <c r="AA17" i="6"/>
  <c r="N16" i="6"/>
  <c r="AD20" i="6"/>
  <c r="Q19" i="6"/>
  <c r="Z17" i="6"/>
  <c r="M16" i="6"/>
  <c r="U19" i="6"/>
  <c r="H18" i="6"/>
  <c r="Z18" i="6" l="1"/>
  <c r="M17" i="6"/>
  <c r="Y18" i="6"/>
  <c r="L17" i="6"/>
  <c r="W17" i="6"/>
  <c r="J16" i="6"/>
  <c r="U20" i="6"/>
  <c r="H19" i="6"/>
  <c r="X18" i="6"/>
  <c r="K17" i="6"/>
  <c r="AC18" i="6"/>
  <c r="P17" i="6"/>
  <c r="AD21" i="6"/>
  <c r="Q20" i="6"/>
  <c r="AB18" i="6"/>
  <c r="O17" i="6"/>
  <c r="AA18" i="6"/>
  <c r="N17" i="6"/>
  <c r="V17" i="6"/>
  <c r="I16" i="6"/>
  <c r="W18" i="6" l="1"/>
  <c r="J17" i="6"/>
  <c r="AC19" i="6"/>
  <c r="P18" i="6"/>
  <c r="X19" i="6"/>
  <c r="K18" i="6"/>
  <c r="V18" i="6"/>
  <c r="I17" i="6"/>
  <c r="U21" i="6"/>
  <c r="H20" i="6"/>
  <c r="AA19" i="6"/>
  <c r="N18" i="6"/>
  <c r="AB19" i="6"/>
  <c r="O18" i="6"/>
  <c r="Y19" i="6"/>
  <c r="L18" i="6"/>
  <c r="AD22" i="6"/>
  <c r="Q21" i="6"/>
  <c r="Z19" i="6"/>
  <c r="M18" i="6"/>
  <c r="AA20" i="6" l="1"/>
  <c r="N19" i="6"/>
  <c r="U22" i="6"/>
  <c r="H21" i="6"/>
  <c r="Z20" i="6"/>
  <c r="M19" i="6"/>
  <c r="V19" i="6"/>
  <c r="I18" i="6"/>
  <c r="AD23" i="6"/>
  <c r="Q22" i="6"/>
  <c r="X20" i="6"/>
  <c r="K19" i="6"/>
  <c r="Y20" i="6"/>
  <c r="L19" i="6"/>
  <c r="AC20" i="6"/>
  <c r="P19" i="6"/>
  <c r="AB20" i="6"/>
  <c r="O19" i="6"/>
  <c r="W19" i="6"/>
  <c r="J18" i="6"/>
  <c r="AB21" i="6" l="1"/>
  <c r="O20" i="6"/>
  <c r="X21" i="6"/>
  <c r="K20" i="6"/>
  <c r="AD24" i="6"/>
  <c r="Q23" i="6"/>
  <c r="W20" i="6"/>
  <c r="J19" i="6"/>
  <c r="V20" i="6"/>
  <c r="I19" i="6"/>
  <c r="Z21" i="6"/>
  <c r="M20" i="6"/>
  <c r="AC21" i="6"/>
  <c r="P20" i="6"/>
  <c r="U23" i="6"/>
  <c r="H22" i="6"/>
  <c r="Y21" i="6"/>
  <c r="L20" i="6"/>
  <c r="AA21" i="6"/>
  <c r="N20" i="6"/>
  <c r="Y22" i="6" l="1"/>
  <c r="L21" i="6"/>
  <c r="Z22" i="6"/>
  <c r="M21" i="6"/>
  <c r="V21" i="6"/>
  <c r="I20" i="6"/>
  <c r="AA22" i="6"/>
  <c r="N21" i="6"/>
  <c r="W21" i="6"/>
  <c r="J20" i="6"/>
  <c r="AD25" i="6"/>
  <c r="Q24" i="6"/>
  <c r="U24" i="6"/>
  <c r="H23" i="6"/>
  <c r="X22" i="6"/>
  <c r="K21" i="6"/>
  <c r="AC22" i="6"/>
  <c r="P21" i="6"/>
  <c r="AB22" i="6"/>
  <c r="O21" i="6"/>
  <c r="W22" i="6" l="1"/>
  <c r="J21" i="6"/>
  <c r="AD26" i="6"/>
  <c r="Q25" i="6"/>
  <c r="AB23" i="6"/>
  <c r="O22" i="6"/>
  <c r="AA23" i="6"/>
  <c r="N22" i="6"/>
  <c r="AC23" i="6"/>
  <c r="P22" i="6"/>
  <c r="V22" i="6"/>
  <c r="I21" i="6"/>
  <c r="X23" i="6"/>
  <c r="K22" i="6"/>
  <c r="Z23" i="6"/>
  <c r="M22" i="6"/>
  <c r="U25" i="6"/>
  <c r="H24" i="6"/>
  <c r="Y23" i="6"/>
  <c r="L22" i="6"/>
  <c r="AC24" i="6" l="1"/>
  <c r="P23" i="6"/>
  <c r="U26" i="6"/>
  <c r="H25" i="6"/>
  <c r="V23" i="6"/>
  <c r="I22" i="6"/>
  <c r="Y24" i="6"/>
  <c r="L23" i="6"/>
  <c r="AA24" i="6"/>
  <c r="N23" i="6"/>
  <c r="AB24" i="6"/>
  <c r="O23" i="6"/>
  <c r="Z24" i="6"/>
  <c r="M23" i="6"/>
  <c r="AD27" i="6"/>
  <c r="Q26" i="6"/>
  <c r="X24" i="6"/>
  <c r="K23" i="6"/>
  <c r="W23" i="6"/>
  <c r="J22" i="6"/>
  <c r="AA25" i="6" l="1"/>
  <c r="N24" i="6"/>
  <c r="AB25" i="6"/>
  <c r="O24" i="6"/>
  <c r="W24" i="6"/>
  <c r="J23" i="6"/>
  <c r="Y25" i="6"/>
  <c r="L24" i="6"/>
  <c r="X25" i="6"/>
  <c r="K24" i="6"/>
  <c r="V24" i="6"/>
  <c r="I23" i="6"/>
  <c r="AD28" i="6"/>
  <c r="Q27" i="6"/>
  <c r="U27" i="6"/>
  <c r="H26" i="6"/>
  <c r="Z25" i="6"/>
  <c r="M24" i="6"/>
  <c r="AC25" i="6"/>
  <c r="P24" i="6"/>
  <c r="Z26" i="6" l="1"/>
  <c r="M25" i="6"/>
  <c r="V25" i="6"/>
  <c r="I24" i="6"/>
  <c r="X26" i="6"/>
  <c r="K25" i="6"/>
  <c r="AC26" i="6"/>
  <c r="P25" i="6"/>
  <c r="Y26" i="6"/>
  <c r="L25" i="6"/>
  <c r="W25" i="6"/>
  <c r="J24" i="6"/>
  <c r="U28" i="6"/>
  <c r="H27" i="6"/>
  <c r="AB26" i="6"/>
  <c r="O25" i="6"/>
  <c r="AD29" i="6"/>
  <c r="Q28" i="6"/>
  <c r="AA26" i="6"/>
  <c r="N25" i="6"/>
  <c r="X27" i="6" l="1"/>
  <c r="K26" i="6"/>
  <c r="W26" i="6"/>
  <c r="J25" i="6"/>
  <c r="Y27" i="6"/>
  <c r="L26" i="6"/>
  <c r="AA27" i="6"/>
  <c r="N26" i="6"/>
  <c r="AC27" i="6"/>
  <c r="P26" i="6"/>
  <c r="AD30" i="6"/>
  <c r="Q29" i="6"/>
  <c r="AB27" i="6"/>
  <c r="O26" i="6"/>
  <c r="V26" i="6"/>
  <c r="I25" i="6"/>
  <c r="U29" i="6"/>
  <c r="H28" i="6"/>
  <c r="Z27" i="6"/>
  <c r="M26" i="6"/>
  <c r="U30" i="6" l="1"/>
  <c r="H29" i="6"/>
  <c r="AD31" i="6"/>
  <c r="Q30" i="6"/>
  <c r="AC28" i="6"/>
  <c r="P27" i="6"/>
  <c r="Z28" i="6"/>
  <c r="M27" i="6"/>
  <c r="AA28" i="6"/>
  <c r="N27" i="6"/>
  <c r="Y28" i="6"/>
  <c r="L27" i="6"/>
  <c r="V27" i="6"/>
  <c r="I26" i="6"/>
  <c r="W27" i="6"/>
  <c r="J26" i="6"/>
  <c r="AB28" i="6"/>
  <c r="O27" i="6"/>
  <c r="X28" i="6"/>
  <c r="K27" i="6"/>
  <c r="AB29" i="6" l="1"/>
  <c r="O28" i="6"/>
  <c r="Y29" i="6"/>
  <c r="L28" i="6"/>
  <c r="AA29" i="6"/>
  <c r="N28" i="6"/>
  <c r="X29" i="6"/>
  <c r="K28" i="6"/>
  <c r="Z29" i="6"/>
  <c r="M28" i="6"/>
  <c r="AC29" i="6"/>
  <c r="P28" i="6"/>
  <c r="W28" i="6"/>
  <c r="J27" i="6"/>
  <c r="AD32" i="6"/>
  <c r="Q31" i="6"/>
  <c r="V28" i="6"/>
  <c r="I27" i="6"/>
  <c r="U31" i="6"/>
  <c r="H30" i="6"/>
  <c r="AC30" i="6" l="1"/>
  <c r="P29" i="6"/>
  <c r="AA30" i="6"/>
  <c r="N29" i="6"/>
  <c r="Z30" i="6"/>
  <c r="M29" i="6"/>
  <c r="U32" i="6"/>
  <c r="H31" i="6"/>
  <c r="X30" i="6"/>
  <c r="K29" i="6"/>
  <c r="V29" i="6"/>
  <c r="I28" i="6"/>
  <c r="AD33" i="6"/>
  <c r="Q32" i="6"/>
  <c r="Y30" i="6"/>
  <c r="L29" i="6"/>
  <c r="W29" i="6"/>
  <c r="J28" i="6"/>
  <c r="AB30" i="6"/>
  <c r="O29" i="6"/>
  <c r="W30" i="6" l="1"/>
  <c r="J29" i="6"/>
  <c r="V30" i="6"/>
  <c r="I29" i="6"/>
  <c r="X31" i="6"/>
  <c r="K30" i="6"/>
  <c r="AB31" i="6"/>
  <c r="O30" i="6"/>
  <c r="U33" i="6"/>
  <c r="H32" i="6"/>
  <c r="Z31" i="6"/>
  <c r="M30" i="6"/>
  <c r="Y31" i="6"/>
  <c r="L30" i="6"/>
  <c r="AA31" i="6"/>
  <c r="N30" i="6"/>
  <c r="AD34" i="6"/>
  <c r="Q33" i="6"/>
  <c r="AC31" i="6"/>
  <c r="P30" i="6"/>
  <c r="Z32" i="6" l="1"/>
  <c r="M31" i="6"/>
  <c r="U34" i="6"/>
  <c r="H33" i="6"/>
  <c r="AC32" i="6"/>
  <c r="P31" i="6"/>
  <c r="AB32" i="6"/>
  <c r="O31" i="6"/>
  <c r="AD35" i="6"/>
  <c r="Q34" i="6"/>
  <c r="X32" i="6"/>
  <c r="K31" i="6"/>
  <c r="AA32" i="6"/>
  <c r="N31" i="6"/>
  <c r="V31" i="6"/>
  <c r="I30" i="6"/>
  <c r="Y32" i="6"/>
  <c r="L31" i="6"/>
  <c r="W31" i="6"/>
  <c r="J30" i="6"/>
  <c r="AC33" i="6" l="1"/>
  <c r="P32" i="6"/>
  <c r="X33" i="6"/>
  <c r="K32" i="6"/>
  <c r="AD36" i="6"/>
  <c r="Q35" i="6"/>
  <c r="W32" i="6"/>
  <c r="J31" i="6"/>
  <c r="AB33" i="6"/>
  <c r="O32" i="6"/>
  <c r="Y33" i="6"/>
  <c r="L32" i="6"/>
  <c r="V32" i="6"/>
  <c r="I31" i="6"/>
  <c r="U35" i="6"/>
  <c r="H34" i="6"/>
  <c r="AA33" i="6"/>
  <c r="N32" i="6"/>
  <c r="Z33" i="6"/>
  <c r="M32" i="6"/>
  <c r="AA34" i="6" l="1"/>
  <c r="N33" i="6"/>
  <c r="Y34" i="6"/>
  <c r="L33" i="6"/>
  <c r="AB34" i="6"/>
  <c r="O33" i="6"/>
  <c r="Z34" i="6"/>
  <c r="M33" i="6"/>
  <c r="W33" i="6"/>
  <c r="J32" i="6"/>
  <c r="AD37" i="6"/>
  <c r="Q36" i="6"/>
  <c r="U36" i="6"/>
  <c r="H35" i="6"/>
  <c r="X34" i="6"/>
  <c r="K33" i="6"/>
  <c r="V33" i="6"/>
  <c r="I32" i="6"/>
  <c r="AC34" i="6"/>
  <c r="P33" i="6"/>
  <c r="AD38" i="6" l="1"/>
  <c r="Q37" i="6"/>
  <c r="W34" i="6"/>
  <c r="J33" i="6"/>
  <c r="AC35" i="6"/>
  <c r="P34" i="6"/>
  <c r="Z35" i="6"/>
  <c r="M34" i="6"/>
  <c r="V34" i="6"/>
  <c r="I33" i="6"/>
  <c r="AB35" i="6"/>
  <c r="O34" i="6"/>
  <c r="X35" i="6"/>
  <c r="K34" i="6"/>
  <c r="Y35" i="6"/>
  <c r="L34" i="6"/>
  <c r="U37" i="6"/>
  <c r="H36" i="6"/>
  <c r="AA35" i="6"/>
  <c r="N34" i="6"/>
  <c r="V35" i="6" l="1"/>
  <c r="I34" i="6"/>
  <c r="AB36" i="6"/>
  <c r="O35" i="6"/>
  <c r="AA36" i="6"/>
  <c r="N35" i="6"/>
  <c r="Z36" i="6"/>
  <c r="M35" i="6"/>
  <c r="U38" i="6"/>
  <c r="H37" i="6"/>
  <c r="AC36" i="6"/>
  <c r="P35" i="6"/>
  <c r="Y36" i="6"/>
  <c r="L35" i="6"/>
  <c r="W35" i="6"/>
  <c r="J34" i="6"/>
  <c r="X36" i="6"/>
  <c r="K35" i="6"/>
  <c r="AD39" i="6"/>
  <c r="Q38" i="6"/>
  <c r="AA37" i="6" l="1"/>
  <c r="N36" i="6"/>
  <c r="AC37" i="6"/>
  <c r="P36" i="6"/>
  <c r="U39" i="6"/>
  <c r="H38" i="6"/>
  <c r="AD40" i="6"/>
  <c r="Q39" i="6"/>
  <c r="Z37" i="6"/>
  <c r="M36" i="6"/>
  <c r="X37" i="6"/>
  <c r="K36" i="6"/>
  <c r="W36" i="6"/>
  <c r="J35" i="6"/>
  <c r="AB37" i="6"/>
  <c r="O36" i="6"/>
  <c r="Y37" i="6"/>
  <c r="L36" i="6"/>
  <c r="V36" i="6"/>
  <c r="I35" i="6"/>
  <c r="X38" i="6" l="1"/>
  <c r="K37" i="6"/>
  <c r="Z38" i="6"/>
  <c r="M37" i="6"/>
  <c r="V37" i="6"/>
  <c r="I36" i="6"/>
  <c r="AD41" i="6"/>
  <c r="Q40" i="6"/>
  <c r="Y38" i="6"/>
  <c r="L37" i="6"/>
  <c r="U40" i="6"/>
  <c r="H39" i="6"/>
  <c r="AB38" i="6"/>
  <c r="O37" i="6"/>
  <c r="AC38" i="6"/>
  <c r="P37" i="6"/>
  <c r="W37" i="6"/>
  <c r="J36" i="6"/>
  <c r="AA38" i="6"/>
  <c r="N37" i="6"/>
  <c r="AD42" i="6" l="1"/>
  <c r="Q41" i="6"/>
  <c r="U41" i="6"/>
  <c r="H40" i="6"/>
  <c r="Y39" i="6"/>
  <c r="L38" i="6"/>
  <c r="AA39" i="6"/>
  <c r="N38" i="6"/>
  <c r="W38" i="6"/>
  <c r="J37" i="6"/>
  <c r="V38" i="6"/>
  <c r="I37" i="6"/>
  <c r="AC39" i="6"/>
  <c r="P38" i="6"/>
  <c r="Z39" i="6"/>
  <c r="M38" i="6"/>
  <c r="AB39" i="6"/>
  <c r="O38" i="6"/>
  <c r="X39" i="6"/>
  <c r="K38" i="6"/>
  <c r="AB40" i="6" l="1"/>
  <c r="O39" i="6"/>
  <c r="V39" i="6"/>
  <c r="I38" i="6"/>
  <c r="W39" i="6"/>
  <c r="J38" i="6"/>
  <c r="X40" i="6"/>
  <c r="K39" i="6"/>
  <c r="AA40" i="6"/>
  <c r="N39" i="6"/>
  <c r="Y40" i="6"/>
  <c r="L39" i="6"/>
  <c r="Z40" i="6"/>
  <c r="M39" i="6"/>
  <c r="U42" i="6"/>
  <c r="H41" i="6"/>
  <c r="AC40" i="6"/>
  <c r="P39" i="6"/>
  <c r="AD43" i="6"/>
  <c r="Q42" i="6"/>
  <c r="Y41" i="6" l="1"/>
  <c r="L40" i="6"/>
  <c r="AA41" i="6"/>
  <c r="N40" i="6"/>
  <c r="AD44" i="6"/>
  <c r="Q43" i="6"/>
  <c r="X41" i="6"/>
  <c r="K40" i="6"/>
  <c r="AC41" i="6"/>
  <c r="P40" i="6"/>
  <c r="W40" i="6"/>
  <c r="J39" i="6"/>
  <c r="U43" i="6"/>
  <c r="H42" i="6"/>
  <c r="V40" i="6"/>
  <c r="I39" i="6"/>
  <c r="Z41" i="6"/>
  <c r="M40" i="6"/>
  <c r="AB41" i="6"/>
  <c r="O40" i="6"/>
  <c r="AC42" i="6" l="1"/>
  <c r="P41" i="6"/>
  <c r="Z42" i="6"/>
  <c r="M41" i="6"/>
  <c r="W41" i="6"/>
  <c r="J40" i="6"/>
  <c r="AB42" i="6"/>
  <c r="O41" i="6"/>
  <c r="X42" i="6"/>
  <c r="K41" i="6"/>
  <c r="AD45" i="6"/>
  <c r="Q44" i="6"/>
  <c r="V41" i="6"/>
  <c r="I40" i="6"/>
  <c r="AA42" i="6"/>
  <c r="N41" i="6"/>
  <c r="U44" i="6"/>
  <c r="H43" i="6"/>
  <c r="Y42" i="6"/>
  <c r="L41" i="6"/>
  <c r="AD46" i="6" l="1"/>
  <c r="Q45" i="6"/>
  <c r="U45" i="6"/>
  <c r="H44" i="6"/>
  <c r="X43" i="6"/>
  <c r="K42" i="6"/>
  <c r="Y43" i="6"/>
  <c r="L42" i="6"/>
  <c r="AB43" i="6"/>
  <c r="O42" i="6"/>
  <c r="W42" i="6"/>
  <c r="J41" i="6"/>
  <c r="AA43" i="6"/>
  <c r="N42" i="6"/>
  <c r="Z43" i="6"/>
  <c r="M42" i="6"/>
  <c r="V42" i="6"/>
  <c r="I41" i="6"/>
  <c r="AC43" i="6"/>
  <c r="P42" i="6"/>
  <c r="W43" i="6" l="1"/>
  <c r="J42" i="6"/>
  <c r="V43" i="6"/>
  <c r="I42" i="6"/>
  <c r="AB44" i="6"/>
  <c r="O43" i="6"/>
  <c r="AC44" i="6"/>
  <c r="P43" i="6"/>
  <c r="Y44" i="6"/>
  <c r="L43" i="6"/>
  <c r="X44" i="6"/>
  <c r="K43" i="6"/>
  <c r="Z44" i="6"/>
  <c r="M43" i="6"/>
  <c r="U46" i="6"/>
  <c r="H45" i="6"/>
  <c r="AA44" i="6"/>
  <c r="N43" i="6"/>
  <c r="AD47" i="6"/>
  <c r="Q46" i="6"/>
  <c r="X45" i="6" l="1"/>
  <c r="K44" i="6"/>
  <c r="Y45" i="6"/>
  <c r="L44" i="6"/>
  <c r="AD48" i="6"/>
  <c r="Q47" i="6"/>
  <c r="AC45" i="6"/>
  <c r="P44" i="6"/>
  <c r="AA45" i="6"/>
  <c r="N44" i="6"/>
  <c r="AB45" i="6"/>
  <c r="O44" i="6"/>
  <c r="U47" i="6"/>
  <c r="H46" i="6"/>
  <c r="V44" i="6"/>
  <c r="I43" i="6"/>
  <c r="Z45" i="6"/>
  <c r="M44" i="6"/>
  <c r="W44" i="6"/>
  <c r="J43" i="6"/>
  <c r="AA46" i="6" l="1"/>
  <c r="N45" i="6"/>
  <c r="Z46" i="6"/>
  <c r="M45" i="6"/>
  <c r="AB46" i="6"/>
  <c r="O45" i="6"/>
  <c r="W45" i="6"/>
  <c r="J44" i="6"/>
  <c r="AC46" i="6"/>
  <c r="P45" i="6"/>
  <c r="AD49" i="6"/>
  <c r="Q48" i="6"/>
  <c r="V45" i="6"/>
  <c r="I44" i="6"/>
  <c r="Y46" i="6"/>
  <c r="L45" i="6"/>
  <c r="U48" i="6"/>
  <c r="H47" i="6"/>
  <c r="X46" i="6"/>
  <c r="K45" i="6"/>
  <c r="AD50" i="6" l="1"/>
  <c r="Q49" i="6"/>
  <c r="AC47" i="6"/>
  <c r="P46" i="6"/>
  <c r="X47" i="6"/>
  <c r="K46" i="6"/>
  <c r="W46" i="6"/>
  <c r="J45" i="6"/>
  <c r="U49" i="6"/>
  <c r="H48" i="6"/>
  <c r="AB47" i="6"/>
  <c r="O46" i="6"/>
  <c r="Y47" i="6"/>
  <c r="L46" i="6"/>
  <c r="Z47" i="6"/>
  <c r="M46" i="6"/>
  <c r="V46" i="6"/>
  <c r="I45" i="6"/>
  <c r="AA47" i="6"/>
  <c r="N46" i="6"/>
  <c r="U50" i="6" l="1"/>
  <c r="H49" i="6"/>
  <c r="X48" i="6"/>
  <c r="K47" i="6"/>
  <c r="AB48" i="6"/>
  <c r="O47" i="6"/>
  <c r="AA48" i="6"/>
  <c r="N47" i="6"/>
  <c r="W47" i="6"/>
  <c r="J46" i="6"/>
  <c r="V47" i="6"/>
  <c r="I46" i="6"/>
  <c r="Z48" i="6"/>
  <c r="M47" i="6"/>
  <c r="AC48" i="6"/>
  <c r="P47" i="6"/>
  <c r="Y48" i="6"/>
  <c r="L47" i="6"/>
  <c r="AD51" i="6"/>
  <c r="Q50" i="6"/>
  <c r="Y49" i="6" l="1"/>
  <c r="L48" i="6"/>
  <c r="V48" i="6"/>
  <c r="I47" i="6"/>
  <c r="W48" i="6"/>
  <c r="J47" i="6"/>
  <c r="AD52" i="6"/>
  <c r="Q51" i="6"/>
  <c r="AA49" i="6"/>
  <c r="N48" i="6"/>
  <c r="AB49" i="6"/>
  <c r="O48" i="6"/>
  <c r="AC49" i="6"/>
  <c r="P48" i="6"/>
  <c r="X49" i="6"/>
  <c r="K48" i="6"/>
  <c r="Z49" i="6"/>
  <c r="M48" i="6"/>
  <c r="U51" i="6"/>
  <c r="H50" i="6"/>
  <c r="AA50" i="6" l="1"/>
  <c r="N49" i="6"/>
  <c r="AB50" i="6"/>
  <c r="O49" i="6"/>
  <c r="U52" i="6"/>
  <c r="H51" i="6"/>
  <c r="AD53" i="6"/>
  <c r="Q52" i="6"/>
  <c r="Z50" i="6"/>
  <c r="M49" i="6"/>
  <c r="W49" i="6"/>
  <c r="J48" i="6"/>
  <c r="X50" i="6"/>
  <c r="K49" i="6"/>
  <c r="V49" i="6"/>
  <c r="I48" i="6"/>
  <c r="AC50" i="6"/>
  <c r="P49" i="6"/>
  <c r="Y50" i="6"/>
  <c r="L49" i="6"/>
  <c r="Y51" i="6" l="1"/>
  <c r="L50" i="6"/>
  <c r="W50" i="6"/>
  <c r="J49" i="6"/>
  <c r="Z51" i="6"/>
  <c r="M50" i="6"/>
  <c r="AD54" i="6"/>
  <c r="Q53" i="6"/>
  <c r="AC51" i="6"/>
  <c r="P50" i="6"/>
  <c r="U53" i="6"/>
  <c r="H52" i="6"/>
  <c r="V50" i="6"/>
  <c r="I49" i="6"/>
  <c r="AB51" i="6"/>
  <c r="O50" i="6"/>
  <c r="X51" i="6"/>
  <c r="K50" i="6"/>
  <c r="AA51" i="6"/>
  <c r="N50" i="6"/>
  <c r="U54" i="6" l="1"/>
  <c r="H53" i="6"/>
  <c r="AC52" i="6"/>
  <c r="P51" i="6"/>
  <c r="AA52" i="6"/>
  <c r="N51" i="6"/>
  <c r="AD55" i="6"/>
  <c r="Q54" i="6"/>
  <c r="X52" i="6"/>
  <c r="K51" i="6"/>
  <c r="Z52" i="6"/>
  <c r="M51" i="6"/>
  <c r="AB52" i="6"/>
  <c r="O51" i="6"/>
  <c r="W51" i="6"/>
  <c r="J50" i="6"/>
  <c r="V51" i="6"/>
  <c r="I50" i="6"/>
  <c r="Y52" i="6"/>
  <c r="L51" i="6"/>
  <c r="V52" i="6" l="1"/>
  <c r="I51" i="6"/>
  <c r="Z53" i="6"/>
  <c r="M52" i="6"/>
  <c r="X53" i="6"/>
  <c r="K52" i="6"/>
  <c r="Y53" i="6"/>
  <c r="L52" i="6"/>
  <c r="AD56" i="6"/>
  <c r="Q55" i="6"/>
  <c r="AA53" i="6"/>
  <c r="N52" i="6"/>
  <c r="W52" i="6"/>
  <c r="J51" i="6"/>
  <c r="AC53" i="6"/>
  <c r="P52" i="6"/>
  <c r="AB53" i="6"/>
  <c r="O52" i="6"/>
  <c r="U55" i="6"/>
  <c r="H54" i="6"/>
  <c r="AA54" i="6" l="1"/>
  <c r="N53" i="6"/>
  <c r="AD57" i="6"/>
  <c r="Q56" i="6"/>
  <c r="U56" i="6"/>
  <c r="H55" i="6"/>
  <c r="Y54" i="6"/>
  <c r="L53" i="6"/>
  <c r="AB54" i="6"/>
  <c r="O53" i="6"/>
  <c r="X54" i="6"/>
  <c r="K53" i="6"/>
  <c r="AC54" i="6"/>
  <c r="P53" i="6"/>
  <c r="Z54" i="6"/>
  <c r="M53" i="6"/>
  <c r="W53" i="6"/>
  <c r="J52" i="6"/>
  <c r="V53" i="6"/>
  <c r="I52" i="6"/>
  <c r="W54" i="6" l="1"/>
  <c r="J53" i="6"/>
  <c r="X55" i="6"/>
  <c r="K54" i="6"/>
  <c r="AB55" i="6"/>
  <c r="O54" i="6"/>
  <c r="V54" i="6"/>
  <c r="I53" i="6"/>
  <c r="Y55" i="6"/>
  <c r="L54" i="6"/>
  <c r="U57" i="6"/>
  <c r="H56" i="6"/>
  <c r="Z55" i="6"/>
  <c r="M54" i="6"/>
  <c r="AD58" i="6"/>
  <c r="Q57" i="6"/>
  <c r="AC55" i="6"/>
  <c r="P54" i="6"/>
  <c r="AA55" i="6"/>
  <c r="N54" i="6"/>
  <c r="Y56" i="6" l="1"/>
  <c r="L55" i="6"/>
  <c r="AC56" i="6"/>
  <c r="P55" i="6"/>
  <c r="U58" i="6"/>
  <c r="H57" i="6"/>
  <c r="AA56" i="6"/>
  <c r="N55" i="6"/>
  <c r="V55" i="6"/>
  <c r="I54" i="6"/>
  <c r="AB56" i="6"/>
  <c r="O55" i="6"/>
  <c r="AD59" i="6"/>
  <c r="Q58" i="6"/>
  <c r="X56" i="6"/>
  <c r="K55" i="6"/>
  <c r="Z56" i="6"/>
  <c r="M55" i="6"/>
  <c r="W55" i="6"/>
  <c r="J54" i="6"/>
  <c r="AB57" i="6" l="1"/>
  <c r="O56" i="6"/>
  <c r="V56" i="6"/>
  <c r="I55" i="6"/>
  <c r="W56" i="6"/>
  <c r="J55" i="6"/>
  <c r="AA57" i="6"/>
  <c r="N56" i="6"/>
  <c r="Z57" i="6"/>
  <c r="M56" i="6"/>
  <c r="U59" i="6"/>
  <c r="H58" i="6"/>
  <c r="X57" i="6"/>
  <c r="K56" i="6"/>
  <c r="AC57" i="6"/>
  <c r="P56" i="6"/>
  <c r="AD60" i="6"/>
  <c r="Q59" i="6"/>
  <c r="Y57" i="6"/>
  <c r="L56" i="6"/>
  <c r="U60" i="6" l="1"/>
  <c r="H59" i="6"/>
  <c r="Z58" i="6"/>
  <c r="M57" i="6"/>
  <c r="Y58" i="6"/>
  <c r="L57" i="6"/>
  <c r="AA58" i="6"/>
  <c r="N57" i="6"/>
  <c r="AD61" i="6"/>
  <c r="Q60" i="6"/>
  <c r="W57" i="6"/>
  <c r="J56" i="6"/>
  <c r="AC58" i="6"/>
  <c r="P57" i="6"/>
  <c r="V57" i="6"/>
  <c r="I56" i="6"/>
  <c r="X58" i="6"/>
  <c r="K57" i="6"/>
  <c r="AB58" i="6"/>
  <c r="O57" i="6"/>
  <c r="AA59" i="6" l="1"/>
  <c r="N58" i="6"/>
  <c r="W58" i="6"/>
  <c r="J57" i="6"/>
  <c r="AD62" i="6"/>
  <c r="Q61" i="6"/>
  <c r="AB59" i="6"/>
  <c r="O58" i="6"/>
  <c r="X59" i="6"/>
  <c r="K58" i="6"/>
  <c r="Y59" i="6"/>
  <c r="L58" i="6"/>
  <c r="V58" i="6"/>
  <c r="I57" i="6"/>
  <c r="Z59" i="6"/>
  <c r="M58" i="6"/>
  <c r="AC59" i="6"/>
  <c r="P58" i="6"/>
  <c r="U61" i="6"/>
  <c r="H60" i="6"/>
  <c r="Y60" i="6" l="1"/>
  <c r="L59" i="6"/>
  <c r="X60" i="6"/>
  <c r="K59" i="6"/>
  <c r="U62" i="6"/>
  <c r="H61" i="6"/>
  <c r="AB60" i="6"/>
  <c r="O59" i="6"/>
  <c r="AC60" i="6"/>
  <c r="P59" i="6"/>
  <c r="AD63" i="6"/>
  <c r="Q62" i="6"/>
  <c r="Z60" i="6"/>
  <c r="M59" i="6"/>
  <c r="W59" i="6"/>
  <c r="J58" i="6"/>
  <c r="V59" i="6"/>
  <c r="I58" i="6"/>
  <c r="AA60" i="6"/>
  <c r="N59" i="6"/>
  <c r="V60" i="6" l="1"/>
  <c r="I59" i="6"/>
  <c r="AD64" i="6"/>
  <c r="Q63" i="6"/>
  <c r="AC61" i="6"/>
  <c r="P60" i="6"/>
  <c r="AA61" i="6"/>
  <c r="N60" i="6"/>
  <c r="AB61" i="6"/>
  <c r="O60" i="6"/>
  <c r="U63" i="6"/>
  <c r="H62" i="6"/>
  <c r="W60" i="6"/>
  <c r="J59" i="6"/>
  <c r="X61" i="6"/>
  <c r="K60" i="6"/>
  <c r="Z61" i="6"/>
  <c r="M60" i="6"/>
  <c r="Y61" i="6"/>
  <c r="L60" i="6"/>
  <c r="U64" i="6" l="1"/>
  <c r="H63" i="6"/>
  <c r="AB62" i="6"/>
  <c r="O61" i="6"/>
  <c r="Y62" i="6"/>
  <c r="L61" i="6"/>
  <c r="AA62" i="6"/>
  <c r="N61" i="6"/>
  <c r="Z62" i="6"/>
  <c r="M61" i="6"/>
  <c r="AC62" i="6"/>
  <c r="P61" i="6"/>
  <c r="X62" i="6"/>
  <c r="K61" i="6"/>
  <c r="AD65" i="6"/>
  <c r="Q64" i="6"/>
  <c r="W61" i="6"/>
  <c r="J60" i="6"/>
  <c r="V61" i="6"/>
  <c r="I60" i="6"/>
  <c r="AA63" i="6" l="1"/>
  <c r="N62" i="6"/>
  <c r="AC63" i="6"/>
  <c r="P62" i="6"/>
  <c r="Z63" i="6"/>
  <c r="M62" i="6"/>
  <c r="V62" i="6"/>
  <c r="I61" i="6"/>
  <c r="W62" i="6"/>
  <c r="J61" i="6"/>
  <c r="Y63" i="6"/>
  <c r="L62" i="6"/>
  <c r="AD66" i="6"/>
  <c r="Q65" i="6"/>
  <c r="AB63" i="6"/>
  <c r="O62" i="6"/>
  <c r="X63" i="6"/>
  <c r="K62" i="6"/>
  <c r="U65" i="6"/>
  <c r="H64" i="6"/>
  <c r="W63" i="6" l="1"/>
  <c r="J62" i="6"/>
  <c r="Z64" i="6"/>
  <c r="M63" i="6"/>
  <c r="Y64" i="6"/>
  <c r="L63" i="6"/>
  <c r="U66" i="6"/>
  <c r="H65" i="6"/>
  <c r="V63" i="6"/>
  <c r="I62" i="6"/>
  <c r="X64" i="6"/>
  <c r="K63" i="6"/>
  <c r="AB64" i="6"/>
  <c r="O63" i="6"/>
  <c r="AC64" i="6"/>
  <c r="P63" i="6"/>
  <c r="AD67" i="6"/>
  <c r="Q66" i="6"/>
  <c r="AA64" i="6"/>
  <c r="N63" i="6"/>
  <c r="U67" i="6" l="1"/>
  <c r="H66" i="6"/>
  <c r="X65" i="6"/>
  <c r="K64" i="6"/>
  <c r="V64" i="6"/>
  <c r="I63" i="6"/>
  <c r="AA65" i="6"/>
  <c r="N64" i="6"/>
  <c r="AD68" i="6"/>
  <c r="Q67" i="6"/>
  <c r="Y65" i="6"/>
  <c r="L64" i="6"/>
  <c r="AC65" i="6"/>
  <c r="P64" i="6"/>
  <c r="Z65" i="6"/>
  <c r="M64" i="6"/>
  <c r="AB65" i="6"/>
  <c r="O64" i="6"/>
  <c r="W64" i="6"/>
  <c r="J63" i="6"/>
  <c r="AD69" i="6" l="1"/>
  <c r="Q68" i="6"/>
  <c r="W65" i="6"/>
  <c r="J64" i="6"/>
  <c r="Y66" i="6"/>
  <c r="L65" i="6"/>
  <c r="AA66" i="6"/>
  <c r="N65" i="6"/>
  <c r="AB66" i="6"/>
  <c r="O65" i="6"/>
  <c r="V65" i="6"/>
  <c r="I64" i="6"/>
  <c r="Z66" i="6"/>
  <c r="M65" i="6"/>
  <c r="X66" i="6"/>
  <c r="K65" i="6"/>
  <c r="AC66" i="6"/>
  <c r="P65" i="6"/>
  <c r="U68" i="6"/>
  <c r="H67" i="6"/>
  <c r="U69" i="6" l="1"/>
  <c r="H68" i="6"/>
  <c r="V66" i="6"/>
  <c r="I65" i="6"/>
  <c r="AB67" i="6"/>
  <c r="O66" i="6"/>
  <c r="AA67" i="6"/>
  <c r="N66" i="6"/>
  <c r="AC67" i="6"/>
  <c r="P66" i="6"/>
  <c r="Y67" i="6"/>
  <c r="L66" i="6"/>
  <c r="X67" i="6"/>
  <c r="K66" i="6"/>
  <c r="W66" i="6"/>
  <c r="J65" i="6"/>
  <c r="Z67" i="6"/>
  <c r="M66" i="6"/>
  <c r="AD70" i="6"/>
  <c r="Q69" i="6"/>
  <c r="AC68" i="6" l="1"/>
  <c r="P67" i="6"/>
  <c r="AA68" i="6"/>
  <c r="N67" i="6"/>
  <c r="Y68" i="6"/>
  <c r="L67" i="6"/>
  <c r="AD71" i="6"/>
  <c r="Q70" i="6"/>
  <c r="Z68" i="6"/>
  <c r="M67" i="6"/>
  <c r="AB68" i="6"/>
  <c r="O67" i="6"/>
  <c r="W67" i="6"/>
  <c r="J66" i="6"/>
  <c r="V67" i="6"/>
  <c r="I66" i="6"/>
  <c r="X68" i="6"/>
  <c r="K67" i="6"/>
  <c r="U70" i="6"/>
  <c r="H69" i="6"/>
  <c r="U71" i="6" l="1"/>
  <c r="H70" i="6"/>
  <c r="AB69" i="6"/>
  <c r="O68" i="6"/>
  <c r="Z69" i="6"/>
  <c r="M68" i="6"/>
  <c r="AD72" i="6"/>
  <c r="Q71" i="6"/>
  <c r="X69" i="6"/>
  <c r="K68" i="6"/>
  <c r="Y69" i="6"/>
  <c r="L68" i="6"/>
  <c r="V68" i="6"/>
  <c r="I67" i="6"/>
  <c r="AA69" i="6"/>
  <c r="N68" i="6"/>
  <c r="W68" i="6"/>
  <c r="J67" i="6"/>
  <c r="AC69" i="6"/>
  <c r="P68" i="6"/>
  <c r="X70" i="6" l="1"/>
  <c r="K69" i="6"/>
  <c r="AC70" i="6"/>
  <c r="P69" i="6"/>
  <c r="Y70" i="6"/>
  <c r="L69" i="6"/>
  <c r="AD73" i="6"/>
  <c r="Q72" i="6"/>
  <c r="W69" i="6"/>
  <c r="J68" i="6"/>
  <c r="Z70" i="6"/>
  <c r="M69" i="6"/>
  <c r="AA70" i="6"/>
  <c r="N69" i="6"/>
  <c r="AB70" i="6"/>
  <c r="O69" i="6"/>
  <c r="V69" i="6"/>
  <c r="I68" i="6"/>
  <c r="U72" i="6"/>
  <c r="H71" i="6"/>
  <c r="Z71" i="6" l="1"/>
  <c r="M70" i="6"/>
  <c r="W70" i="6"/>
  <c r="J69" i="6"/>
  <c r="U73" i="6"/>
  <c r="H72" i="6"/>
  <c r="AD74" i="6"/>
  <c r="Q73" i="6"/>
  <c r="V70" i="6"/>
  <c r="I69" i="6"/>
  <c r="Y71" i="6"/>
  <c r="L70" i="6"/>
  <c r="AB71" i="6"/>
  <c r="O70" i="6"/>
  <c r="AC71" i="6"/>
  <c r="P70" i="6"/>
  <c r="AA71" i="6"/>
  <c r="N70" i="6"/>
  <c r="X71" i="6"/>
  <c r="K70" i="6"/>
  <c r="V71" i="6" l="1"/>
  <c r="I70" i="6"/>
  <c r="X72" i="6"/>
  <c r="K71" i="6"/>
  <c r="Y72" i="6"/>
  <c r="L71" i="6"/>
  <c r="AD75" i="6"/>
  <c r="Q74" i="6"/>
  <c r="AA72" i="6"/>
  <c r="N71" i="6"/>
  <c r="U74" i="6"/>
  <c r="H73" i="6"/>
  <c r="AC72" i="6"/>
  <c r="P71" i="6"/>
  <c r="W71" i="6"/>
  <c r="J70" i="6"/>
  <c r="AB72" i="6"/>
  <c r="O71" i="6"/>
  <c r="Z72" i="6"/>
  <c r="M71" i="6"/>
  <c r="Z73" i="6" l="1"/>
  <c r="M72" i="6"/>
  <c r="U75" i="6"/>
  <c r="H74" i="6"/>
  <c r="AA73" i="6"/>
  <c r="N72" i="6"/>
  <c r="AD76" i="6"/>
  <c r="Q75" i="6"/>
  <c r="AB73" i="6"/>
  <c r="O72" i="6"/>
  <c r="Y73" i="6"/>
  <c r="L72" i="6"/>
  <c r="W72" i="6"/>
  <c r="J71" i="6"/>
  <c r="X73" i="6"/>
  <c r="K72" i="6"/>
  <c r="AC73" i="6"/>
  <c r="P72" i="6"/>
  <c r="V72" i="6"/>
  <c r="I71" i="6"/>
  <c r="V73" i="6" l="1"/>
  <c r="I72" i="6"/>
  <c r="Y74" i="6"/>
  <c r="L73" i="6"/>
  <c r="AB74" i="6"/>
  <c r="O73" i="6"/>
  <c r="AD77" i="6"/>
  <c r="Q76" i="6"/>
  <c r="AC74" i="6"/>
  <c r="P73" i="6"/>
  <c r="AA74" i="6"/>
  <c r="N73" i="6"/>
  <c r="X74" i="6"/>
  <c r="K73" i="6"/>
  <c r="U76" i="6"/>
  <c r="H75" i="6"/>
  <c r="W73" i="6"/>
  <c r="J72" i="6"/>
  <c r="Z74" i="6"/>
  <c r="M73" i="6"/>
  <c r="AA75" i="6" l="1"/>
  <c r="N74" i="6"/>
  <c r="AC75" i="6"/>
  <c r="P74" i="6"/>
  <c r="Z75" i="6"/>
  <c r="M74" i="6"/>
  <c r="AD78" i="6"/>
  <c r="Q77" i="6"/>
  <c r="W74" i="6"/>
  <c r="J73" i="6"/>
  <c r="AB75" i="6"/>
  <c r="O74" i="6"/>
  <c r="U77" i="6"/>
  <c r="H76" i="6"/>
  <c r="Y75" i="6"/>
  <c r="L74" i="6"/>
  <c r="X75" i="6"/>
  <c r="K74" i="6"/>
  <c r="V74" i="6"/>
  <c r="I73" i="6"/>
  <c r="V75" i="6" l="1"/>
  <c r="I74" i="6"/>
  <c r="AB76" i="6"/>
  <c r="O75" i="6"/>
  <c r="W75" i="6"/>
  <c r="J74" i="6"/>
  <c r="AD79" i="6"/>
  <c r="Q78" i="6"/>
  <c r="X76" i="6"/>
  <c r="K75" i="6"/>
  <c r="Z76" i="6"/>
  <c r="M75" i="6"/>
  <c r="Y76" i="6"/>
  <c r="L75" i="6"/>
  <c r="AC76" i="6"/>
  <c r="P75" i="6"/>
  <c r="U78" i="6"/>
  <c r="H77" i="6"/>
  <c r="AA76" i="6"/>
  <c r="N75" i="6"/>
  <c r="Z77" i="6" l="1"/>
  <c r="M76" i="6"/>
  <c r="X77" i="6"/>
  <c r="K76" i="6"/>
  <c r="AA77" i="6"/>
  <c r="N76" i="6"/>
  <c r="AD80" i="6"/>
  <c r="Q79" i="6"/>
  <c r="U79" i="6"/>
  <c r="H78" i="6"/>
  <c r="W76" i="6"/>
  <c r="J75" i="6"/>
  <c r="AC77" i="6"/>
  <c r="P76" i="6"/>
  <c r="AB77" i="6"/>
  <c r="O76" i="6"/>
  <c r="Y77" i="6"/>
  <c r="L76" i="6"/>
  <c r="V76" i="6"/>
  <c r="I75" i="6"/>
  <c r="W77" i="6" l="1"/>
  <c r="J76" i="6"/>
  <c r="U80" i="6"/>
  <c r="H79" i="6"/>
  <c r="V77" i="6"/>
  <c r="I76" i="6"/>
  <c r="AD81" i="6"/>
  <c r="Q80" i="6"/>
  <c r="Y78" i="6"/>
  <c r="L77" i="6"/>
  <c r="AA78" i="6"/>
  <c r="N77" i="6"/>
  <c r="AB78" i="6"/>
  <c r="O77" i="6"/>
  <c r="X78" i="6"/>
  <c r="K77" i="6"/>
  <c r="AC78" i="6"/>
  <c r="P77" i="6"/>
  <c r="Z78" i="6"/>
  <c r="M77" i="6"/>
  <c r="Y79" i="6" l="1"/>
  <c r="L78" i="6"/>
  <c r="Z79" i="6"/>
  <c r="M78" i="6"/>
  <c r="AA79" i="6"/>
  <c r="N78" i="6"/>
  <c r="AD82" i="6"/>
  <c r="Q81" i="6"/>
  <c r="AC79" i="6"/>
  <c r="P78" i="6"/>
  <c r="V78" i="6"/>
  <c r="I77" i="6"/>
  <c r="X79" i="6"/>
  <c r="K78" i="6"/>
  <c r="U81" i="6"/>
  <c r="H80" i="6"/>
  <c r="AB79" i="6"/>
  <c r="O78" i="6"/>
  <c r="W78" i="6"/>
  <c r="J77" i="6"/>
  <c r="W79" i="6" l="1"/>
  <c r="J78" i="6"/>
  <c r="V79" i="6"/>
  <c r="I78" i="6"/>
  <c r="AC80" i="6"/>
  <c r="P79" i="6"/>
  <c r="AD83" i="6"/>
  <c r="Q82" i="6"/>
  <c r="AB80" i="6"/>
  <c r="O79" i="6"/>
  <c r="AA80" i="6"/>
  <c r="N79" i="6"/>
  <c r="U82" i="6"/>
  <c r="H81" i="6"/>
  <c r="Z80" i="6"/>
  <c r="M79" i="6"/>
  <c r="X80" i="6"/>
  <c r="K79" i="6"/>
  <c r="Y80" i="6"/>
  <c r="L79" i="6"/>
  <c r="AB81" i="6" l="1"/>
  <c r="O80" i="6"/>
  <c r="Y81" i="6"/>
  <c r="L80" i="6"/>
  <c r="AA81" i="6"/>
  <c r="N80" i="6"/>
  <c r="AD84" i="6"/>
  <c r="Q83" i="6"/>
  <c r="X81" i="6"/>
  <c r="K80" i="6"/>
  <c r="AC81" i="6"/>
  <c r="P80" i="6"/>
  <c r="Z81" i="6"/>
  <c r="M80" i="6"/>
  <c r="V80" i="6"/>
  <c r="I79" i="6"/>
  <c r="U83" i="6"/>
  <c r="H82" i="6"/>
  <c r="W80" i="6"/>
  <c r="J79" i="6"/>
  <c r="AD85" i="6" l="1"/>
  <c r="Q84" i="6"/>
  <c r="AC82" i="6"/>
  <c r="P81" i="6"/>
  <c r="X82" i="6"/>
  <c r="K81" i="6"/>
  <c r="W81" i="6"/>
  <c r="J80" i="6"/>
  <c r="U84" i="6"/>
  <c r="H83" i="6"/>
  <c r="AA82" i="6"/>
  <c r="N81" i="6"/>
  <c r="V81" i="6"/>
  <c r="I80" i="6"/>
  <c r="Y82" i="6"/>
  <c r="L81" i="6"/>
  <c r="Z82" i="6"/>
  <c r="M81" i="6"/>
  <c r="AB82" i="6"/>
  <c r="O81" i="6"/>
  <c r="AA83" i="6" l="1"/>
  <c r="N82" i="6"/>
  <c r="U85" i="6"/>
  <c r="H84" i="6"/>
  <c r="AB83" i="6"/>
  <c r="O82" i="6"/>
  <c r="W82" i="6"/>
  <c r="J81" i="6"/>
  <c r="Z83" i="6"/>
  <c r="M82" i="6"/>
  <c r="X83" i="6"/>
  <c r="K82" i="6"/>
  <c r="Y83" i="6"/>
  <c r="L82" i="6"/>
  <c r="AC83" i="6"/>
  <c r="P82" i="6"/>
  <c r="V82" i="6"/>
  <c r="I81" i="6"/>
  <c r="AD86" i="6"/>
  <c r="Q85" i="6"/>
  <c r="X84" i="6" l="1"/>
  <c r="K83" i="6"/>
  <c r="Z84" i="6"/>
  <c r="M83" i="6"/>
  <c r="AD87" i="6"/>
  <c r="Q86" i="6"/>
  <c r="W83" i="6"/>
  <c r="J82" i="6"/>
  <c r="V83" i="6"/>
  <c r="I82" i="6"/>
  <c r="AB84" i="6"/>
  <c r="O83" i="6"/>
  <c r="AC84" i="6"/>
  <c r="P83" i="6"/>
  <c r="U86" i="6"/>
  <c r="H85" i="6"/>
  <c r="Y84" i="6"/>
  <c r="L83" i="6"/>
  <c r="AA84" i="6"/>
  <c r="N83" i="6"/>
  <c r="AB85" i="6" l="1"/>
  <c r="O84" i="6"/>
  <c r="V84" i="6"/>
  <c r="I83" i="6"/>
  <c r="AA85" i="6"/>
  <c r="N84" i="6"/>
  <c r="W84" i="6"/>
  <c r="J83" i="6"/>
  <c r="Y85" i="6"/>
  <c r="L84" i="6"/>
  <c r="AD88" i="6"/>
  <c r="Q87" i="6"/>
  <c r="U87" i="6"/>
  <c r="H86" i="6"/>
  <c r="Z85" i="6"/>
  <c r="M84" i="6"/>
  <c r="AC85" i="6"/>
  <c r="P84" i="6"/>
  <c r="X85" i="6"/>
  <c r="K84" i="6"/>
  <c r="W85" i="6" l="1"/>
  <c r="J84" i="6"/>
  <c r="AD89" i="6"/>
  <c r="Q88" i="6"/>
  <c r="Y86" i="6"/>
  <c r="L85" i="6"/>
  <c r="X86" i="6"/>
  <c r="K85" i="6"/>
  <c r="AC86" i="6"/>
  <c r="P85" i="6"/>
  <c r="AA86" i="6"/>
  <c r="N85" i="6"/>
  <c r="Z86" i="6"/>
  <c r="M85" i="6"/>
  <c r="V85" i="6"/>
  <c r="I84" i="6"/>
  <c r="U88" i="6"/>
  <c r="H87" i="6"/>
  <c r="AB86" i="6"/>
  <c r="O85" i="6"/>
  <c r="AA87" i="6" l="1"/>
  <c r="N86" i="6"/>
  <c r="X87" i="6"/>
  <c r="K86" i="6"/>
  <c r="AC87" i="6"/>
  <c r="P86" i="6"/>
  <c r="AB87" i="6"/>
  <c r="O86" i="6"/>
  <c r="U89" i="6"/>
  <c r="H88" i="6"/>
  <c r="Y87" i="6"/>
  <c r="L86" i="6"/>
  <c r="V86" i="6"/>
  <c r="I85" i="6"/>
  <c r="AD90" i="6"/>
  <c r="Q89" i="6"/>
  <c r="Z87" i="6"/>
  <c r="M86" i="6"/>
  <c r="W86" i="6"/>
  <c r="J85" i="6"/>
  <c r="Z88" i="6" l="1"/>
  <c r="M87" i="6"/>
  <c r="Y88" i="6"/>
  <c r="L87" i="6"/>
  <c r="U90" i="6"/>
  <c r="H89" i="6"/>
  <c r="W87" i="6"/>
  <c r="J86" i="6"/>
  <c r="AB88" i="6"/>
  <c r="O87" i="6"/>
  <c r="AC88" i="6"/>
  <c r="P87" i="6"/>
  <c r="AD91" i="6"/>
  <c r="Q90" i="6"/>
  <c r="X88" i="6"/>
  <c r="K87" i="6"/>
  <c r="V87" i="6"/>
  <c r="I86" i="6"/>
  <c r="AA88" i="6"/>
  <c r="N87" i="6"/>
  <c r="AA89" i="6" l="1"/>
  <c r="N88" i="6"/>
  <c r="AC89" i="6"/>
  <c r="P88" i="6"/>
  <c r="AB89" i="6"/>
  <c r="O88" i="6"/>
  <c r="W88" i="6"/>
  <c r="J87" i="6"/>
  <c r="V88" i="6"/>
  <c r="I87" i="6"/>
  <c r="U91" i="6"/>
  <c r="H90" i="6"/>
  <c r="X89" i="6"/>
  <c r="K88" i="6"/>
  <c r="Y89" i="6"/>
  <c r="L88" i="6"/>
  <c r="AD92" i="6"/>
  <c r="Q91" i="6"/>
  <c r="Z89" i="6"/>
  <c r="M88" i="6"/>
  <c r="U92" i="6" l="1"/>
  <c r="H91" i="6"/>
  <c r="Z90" i="6"/>
  <c r="M89" i="6"/>
  <c r="AD93" i="6"/>
  <c r="Q92" i="6"/>
  <c r="V89" i="6"/>
  <c r="I88" i="6"/>
  <c r="W89" i="6"/>
  <c r="J88" i="6"/>
  <c r="AB90" i="6"/>
  <c r="O89" i="6"/>
  <c r="Y90" i="6"/>
  <c r="L89" i="6"/>
  <c r="AC90" i="6"/>
  <c r="P89" i="6"/>
  <c r="X90" i="6"/>
  <c r="K89" i="6"/>
  <c r="AA90" i="6"/>
  <c r="N89" i="6"/>
  <c r="W90" i="6" l="1"/>
  <c r="J89" i="6"/>
  <c r="AA91" i="6"/>
  <c r="N90" i="6"/>
  <c r="AB91" i="6"/>
  <c r="O90" i="6"/>
  <c r="V90" i="6"/>
  <c r="I89" i="6"/>
  <c r="X91" i="6"/>
  <c r="K90" i="6"/>
  <c r="AD94" i="6"/>
  <c r="Q93" i="6"/>
  <c r="AC91" i="6"/>
  <c r="P90" i="6"/>
  <c r="Z91" i="6"/>
  <c r="M90" i="6"/>
  <c r="Y91" i="6"/>
  <c r="L90" i="6"/>
  <c r="U93" i="6"/>
  <c r="H92" i="6"/>
  <c r="AD95" i="6" l="1"/>
  <c r="Q94" i="6"/>
  <c r="X92" i="6"/>
  <c r="K91" i="6"/>
  <c r="U94" i="6"/>
  <c r="H93" i="6"/>
  <c r="V91" i="6"/>
  <c r="I90" i="6"/>
  <c r="Y92" i="6"/>
  <c r="L91" i="6"/>
  <c r="AB92" i="6"/>
  <c r="O91" i="6"/>
  <c r="Z92" i="6"/>
  <c r="M91" i="6"/>
  <c r="AA92" i="6"/>
  <c r="N91" i="6"/>
  <c r="AC92" i="6"/>
  <c r="P91" i="6"/>
  <c r="W91" i="6"/>
  <c r="J90" i="6"/>
  <c r="AB93" i="6" l="1"/>
  <c r="O92" i="6"/>
  <c r="AC93" i="6"/>
  <c r="P92" i="6"/>
  <c r="Y93" i="6"/>
  <c r="L92" i="6"/>
  <c r="W92" i="6"/>
  <c r="J91" i="6"/>
  <c r="V92" i="6"/>
  <c r="I91" i="6"/>
  <c r="U95" i="6"/>
  <c r="H94" i="6"/>
  <c r="AA93" i="6"/>
  <c r="N92" i="6"/>
  <c r="X93" i="6"/>
  <c r="K92" i="6"/>
  <c r="Z93" i="6"/>
  <c r="M92" i="6"/>
  <c r="AD96" i="6"/>
  <c r="Q95" i="6"/>
  <c r="AD97" i="6" l="1"/>
  <c r="Q96" i="6"/>
  <c r="U96" i="6"/>
  <c r="H95" i="6"/>
  <c r="V93" i="6"/>
  <c r="I92" i="6"/>
  <c r="W93" i="6"/>
  <c r="J92" i="6"/>
  <c r="Z94" i="6"/>
  <c r="M93" i="6"/>
  <c r="Y94" i="6"/>
  <c r="L93" i="6"/>
  <c r="X94" i="6"/>
  <c r="K93" i="6"/>
  <c r="AC94" i="6"/>
  <c r="P93" i="6"/>
  <c r="AA94" i="6"/>
  <c r="N93" i="6"/>
  <c r="AB94" i="6"/>
  <c r="O93" i="6"/>
  <c r="AB95" i="6" l="1"/>
  <c r="O94" i="6"/>
  <c r="V94" i="6"/>
  <c r="I93" i="6"/>
  <c r="Y95" i="6"/>
  <c r="L94" i="6"/>
  <c r="Z95" i="6"/>
  <c r="M94" i="6"/>
  <c r="W94" i="6"/>
  <c r="J93" i="6"/>
  <c r="AA95" i="6"/>
  <c r="N94" i="6"/>
  <c r="AC95" i="6"/>
  <c r="P94" i="6"/>
  <c r="U97" i="6"/>
  <c r="H96" i="6"/>
  <c r="X95" i="6"/>
  <c r="K94" i="6"/>
  <c r="AD98" i="6"/>
  <c r="Q97" i="6"/>
  <c r="W95" i="6" l="1"/>
  <c r="J94" i="6"/>
  <c r="X96" i="6"/>
  <c r="K95" i="6"/>
  <c r="AA96" i="6"/>
  <c r="N95" i="6"/>
  <c r="AD99" i="6"/>
  <c r="Q98" i="6"/>
  <c r="Z96" i="6"/>
  <c r="M95" i="6"/>
  <c r="Y96" i="6"/>
  <c r="L95" i="6"/>
  <c r="U98" i="6"/>
  <c r="H97" i="6"/>
  <c r="V95" i="6"/>
  <c r="I94" i="6"/>
  <c r="AC96" i="6"/>
  <c r="P95" i="6"/>
  <c r="AB96" i="6"/>
  <c r="O95" i="6"/>
  <c r="Z97" i="6" l="1"/>
  <c r="M96" i="6"/>
  <c r="Y97" i="6"/>
  <c r="L96" i="6"/>
  <c r="AB97" i="6"/>
  <c r="O96" i="6"/>
  <c r="AD100" i="6"/>
  <c r="Q99" i="6"/>
  <c r="AC97" i="6"/>
  <c r="P96" i="6"/>
  <c r="AA97" i="6"/>
  <c r="N96" i="6"/>
  <c r="V96" i="6"/>
  <c r="I95" i="6"/>
  <c r="X97" i="6"/>
  <c r="K96" i="6"/>
  <c r="U99" i="6"/>
  <c r="H98" i="6"/>
  <c r="W96" i="6"/>
  <c r="J95" i="6"/>
  <c r="AA98" i="6" l="1"/>
  <c r="N97" i="6"/>
  <c r="W97" i="6"/>
  <c r="J96" i="6"/>
  <c r="AC98" i="6"/>
  <c r="P97" i="6"/>
  <c r="AD101" i="6"/>
  <c r="Q100" i="6"/>
  <c r="U100" i="6"/>
  <c r="H99" i="6"/>
  <c r="AB98" i="6"/>
  <c r="O97" i="6"/>
  <c r="X98" i="6"/>
  <c r="K97" i="6"/>
  <c r="Y98" i="6"/>
  <c r="L97" i="6"/>
  <c r="V97" i="6"/>
  <c r="I96" i="6"/>
  <c r="Z98" i="6"/>
  <c r="M97" i="6"/>
  <c r="U101" i="6" l="1"/>
  <c r="H100" i="6"/>
  <c r="Z99" i="6"/>
  <c r="M98" i="6"/>
  <c r="AB99" i="6"/>
  <c r="O98" i="6"/>
  <c r="AD102" i="6"/>
  <c r="Q102" i="6" s="1"/>
  <c r="Q101" i="6"/>
  <c r="V98" i="6"/>
  <c r="I97" i="6"/>
  <c r="AC99" i="6"/>
  <c r="P98" i="6"/>
  <c r="Y99" i="6"/>
  <c r="L98" i="6"/>
  <c r="W98" i="6"/>
  <c r="J97" i="6"/>
  <c r="X99" i="6"/>
  <c r="K98" i="6"/>
  <c r="AA99" i="6"/>
  <c r="N98" i="6"/>
  <c r="U105" i="6" l="1" a="1"/>
  <c r="U105" i="6" s="1"/>
  <c r="AC100" i="6"/>
  <c r="P99" i="6"/>
  <c r="V99" i="6"/>
  <c r="I98" i="6"/>
  <c r="AA100" i="6"/>
  <c r="N99" i="6"/>
  <c r="X100" i="6"/>
  <c r="K99" i="6"/>
  <c r="AB100" i="6"/>
  <c r="O99" i="6"/>
  <c r="W99" i="6"/>
  <c r="J98" i="6"/>
  <c r="Z100" i="6"/>
  <c r="M99" i="6"/>
  <c r="Y100" i="6"/>
  <c r="L99" i="6"/>
  <c r="U102" i="6"/>
  <c r="H102" i="6" s="1"/>
  <c r="H101" i="6"/>
  <c r="C105" i="6" l="1" a="1"/>
  <c r="C105" i="6" s="1"/>
  <c r="W100" i="6"/>
  <c r="J99" i="6"/>
  <c r="AB101" i="6"/>
  <c r="O100" i="6"/>
  <c r="X101" i="6"/>
  <c r="K100" i="6"/>
  <c r="AA101" i="6"/>
  <c r="N100" i="6"/>
  <c r="Y101" i="6"/>
  <c r="L100" i="6"/>
  <c r="V100" i="6"/>
  <c r="I99" i="6"/>
  <c r="Z101" i="6"/>
  <c r="M100" i="6"/>
  <c r="AC101" i="6"/>
  <c r="P100" i="6"/>
  <c r="Z102" i="6" l="1"/>
  <c r="M102" i="6" s="1"/>
  <c r="M101" i="6"/>
  <c r="Y102" i="6"/>
  <c r="L102" i="6" s="1"/>
  <c r="L101" i="6"/>
  <c r="AC102" i="6"/>
  <c r="P102" i="6" s="1"/>
  <c r="P101" i="6"/>
  <c r="V101" i="6"/>
  <c r="I100" i="6"/>
  <c r="X102" i="6"/>
  <c r="K102" i="6" s="1"/>
  <c r="K101" i="6"/>
  <c r="AB102" i="6"/>
  <c r="O102" i="6" s="1"/>
  <c r="O101" i="6"/>
  <c r="AA102" i="6"/>
  <c r="N102" i="6" s="1"/>
  <c r="N101" i="6"/>
  <c r="W101" i="6"/>
  <c r="J100" i="6"/>
  <c r="I105" i="6" l="1" a="1"/>
  <c r="I105" i="6" s="1"/>
  <c r="S105" i="6" a="1"/>
  <c r="S105" i="6" s="1"/>
  <c r="K105" i="6" a="1"/>
  <c r="K105" i="6" s="1"/>
  <c r="O105" i="6" a="1"/>
  <c r="O105" i="6" s="1"/>
  <c r="M105" i="6" a="1"/>
  <c r="M105" i="6" s="1"/>
  <c r="Q105" i="6" a="1"/>
  <c r="Q105" i="6" s="1"/>
  <c r="V102" i="6"/>
  <c r="I102" i="6" s="1"/>
  <c r="I101" i="6"/>
  <c r="W102" i="6"/>
  <c r="J102" i="6" s="1"/>
  <c r="J101" i="6"/>
  <c r="G105" i="6" l="1" a="1"/>
  <c r="G105" i="6" s="1"/>
  <c r="E105" i="6" a="1"/>
  <c r="E105" i="6" s="1"/>
  <c r="D114" i="6" l="1"/>
  <c r="D115" i="6"/>
  <c r="E115" i="6"/>
  <c r="E116" i="6"/>
  <c r="D116" i="6"/>
  <c r="D117" i="6" s="1"/>
  <c r="E114" i="6"/>
  <c r="C115" i="6"/>
  <c r="C116" i="6"/>
  <c r="C114" i="6"/>
  <c r="E117" i="6" l="1"/>
  <c r="C117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<sst xmlns="http://schemas.openxmlformats.org/spreadsheetml/2006/main" count="2747" uniqueCount="366">
  <si>
    <t>Эксперимент</t>
  </si>
  <si>
    <t>Спецификация</t>
  </si>
  <si>
    <t>а0=</t>
  </si>
  <si>
    <t>а1=</t>
  </si>
  <si>
    <t>сигма=</t>
  </si>
  <si>
    <t>=</t>
  </si>
  <si>
    <t>Примечание:</t>
  </si>
  <si>
    <t>Расчеты для каждого пункта выполнить на отдельном листе.</t>
  </si>
  <si>
    <t>m=100</t>
  </si>
  <si>
    <t>i = 1-100</t>
  </si>
  <si>
    <t>при i=1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</si>
  <si>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</si>
  <si>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</si>
  <si>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</si>
  <si>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</si>
  <si>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</si>
  <si>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</si>
  <si>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</si>
  <si>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</si>
  <si>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</si>
  <si>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</si>
  <si>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</si>
  <si>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</si>
  <si>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</si>
  <si>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</si>
  <si>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</si>
  <si>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</si>
  <si>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</si>
  <si>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</si>
  <si>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</si>
  <si>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</si>
  <si>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</si>
  <si>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</si>
  <si>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</si>
  <si>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</si>
  <si>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</si>
  <si>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</si>
  <si>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</si>
  <si>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</si>
  <si>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</si>
  <si>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</si>
  <si>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</si>
  <si>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</si>
  <si>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</si>
  <si>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</si>
  <si>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</si>
  <si>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</si>
  <si>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</si>
  <si>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</si>
  <si>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</si>
  <si>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</si>
  <si>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</si>
  <si>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</si>
  <si>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</si>
  <si>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</si>
  <si>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</si>
  <si>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</si>
  <si>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</si>
  <si>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</si>
  <si>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</si>
  <si>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</si>
  <si>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</si>
  <si>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</si>
  <si>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</si>
  <si>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</si>
  <si>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</si>
  <si>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</si>
  <si>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</si>
  <si>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</si>
  <si>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</si>
  <si>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</si>
  <si>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</si>
  <si>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</si>
  <si>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</si>
  <si>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</si>
  <si>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</si>
  <si>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</si>
  <si>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</si>
  <si>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</si>
  <si>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</si>
  <si>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</si>
  <si>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</si>
  <si>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</si>
  <si>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</si>
  <si>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</si>
  <si>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</si>
  <si>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</si>
  <si>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</si>
  <si>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</si>
  <si>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</si>
  <si>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</si>
  <si>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</si>
  <si>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</si>
  <si>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</si>
  <si>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</si>
  <si>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</si>
  <si>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</si>
  <si>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</si>
  <si>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</si>
  <si>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</si>
  <si>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</si>
  <si>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</si>
  <si>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</si>
  <si>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</si>
  <si>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</si>
  <si>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</si>
  <si>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</si>
  <si>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</si>
  <si>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</si>
  <si>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</si>
  <si>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</si>
  <si>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u 1</t>
  </si>
  <si>
    <t>u 2</t>
  </si>
  <si>
    <t>u 3</t>
  </si>
  <si>
    <t>u 4</t>
  </si>
  <si>
    <t>u 5</t>
  </si>
  <si>
    <t>u 6</t>
  </si>
  <si>
    <t>u 7</t>
  </si>
  <si>
    <t>u 8</t>
  </si>
  <si>
    <t>u 9</t>
  </si>
  <si>
    <t>u 10</t>
  </si>
  <si>
    <t>u 11</t>
  </si>
  <si>
    <t>u 12</t>
  </si>
  <si>
    <t>u 13</t>
  </si>
  <si>
    <t>u 14</t>
  </si>
  <si>
    <t>u 15</t>
  </si>
  <si>
    <t>u 16</t>
  </si>
  <si>
    <t>u 17</t>
  </si>
  <si>
    <t>u 18</t>
  </si>
  <si>
    <t>u 19</t>
  </si>
  <si>
    <t>u 20</t>
  </si>
  <si>
    <t>u 21</t>
  </si>
  <si>
    <t>u 22</t>
  </si>
  <si>
    <t>u 23</t>
  </si>
  <si>
    <t>u 24</t>
  </si>
  <si>
    <t>u 25</t>
  </si>
  <si>
    <t>u 26</t>
  </si>
  <si>
    <t>u 27</t>
  </si>
  <si>
    <t>u 28</t>
  </si>
  <si>
    <t>u 29</t>
  </si>
  <si>
    <t>u 30</t>
  </si>
  <si>
    <t>u 31</t>
  </si>
  <si>
    <t>u 32</t>
  </si>
  <si>
    <t>u 33</t>
  </si>
  <si>
    <t>u 34</t>
  </si>
  <si>
    <t>u 35</t>
  </si>
  <si>
    <t>u 36</t>
  </si>
  <si>
    <t>u 37</t>
  </si>
  <si>
    <t>u 38</t>
  </si>
  <si>
    <t>u 39</t>
  </si>
  <si>
    <t>u 40</t>
  </si>
  <si>
    <t>u 41</t>
  </si>
  <si>
    <t>u 42</t>
  </si>
  <si>
    <t>u 43</t>
  </si>
  <si>
    <t>u 44</t>
  </si>
  <si>
    <t>u 45</t>
  </si>
  <si>
    <t>u 46</t>
  </si>
  <si>
    <t>u 47</t>
  </si>
  <si>
    <t>u 48</t>
  </si>
  <si>
    <t>u 49</t>
  </si>
  <si>
    <t>u 50</t>
  </si>
  <si>
    <t>u 51</t>
  </si>
  <si>
    <t>u 52</t>
  </si>
  <si>
    <t>u 53</t>
  </si>
  <si>
    <t>u 54</t>
  </si>
  <si>
    <t>u 55</t>
  </si>
  <si>
    <t>u 56</t>
  </si>
  <si>
    <t>u 57</t>
  </si>
  <si>
    <t>u 58</t>
  </si>
  <si>
    <t>u 59</t>
  </si>
  <si>
    <t>u 60</t>
  </si>
  <si>
    <t>u 61</t>
  </si>
  <si>
    <t>u 62</t>
  </si>
  <si>
    <t>u 63</t>
  </si>
  <si>
    <t>u 64</t>
  </si>
  <si>
    <t>u 65</t>
  </si>
  <si>
    <t>u 66</t>
  </si>
  <si>
    <t>u 67</t>
  </si>
  <si>
    <t>u 68</t>
  </si>
  <si>
    <t>u 69</t>
  </si>
  <si>
    <t>u 70</t>
  </si>
  <si>
    <t>u 71</t>
  </si>
  <si>
    <t>u 72</t>
  </si>
  <si>
    <t>u 73</t>
  </si>
  <si>
    <t>u 74</t>
  </si>
  <si>
    <t>u 75</t>
  </si>
  <si>
    <t>u 76</t>
  </si>
  <si>
    <t>u 77</t>
  </si>
  <si>
    <t>u 78</t>
  </si>
  <si>
    <t>u 79</t>
  </si>
  <si>
    <t>u 80</t>
  </si>
  <si>
    <t>u 81</t>
  </si>
  <si>
    <t>u 82</t>
  </si>
  <si>
    <t>u 83</t>
  </si>
  <si>
    <t>u 84</t>
  </si>
  <si>
    <t>u 85</t>
  </si>
  <si>
    <t>u 86</t>
  </si>
  <si>
    <t>u 87</t>
  </si>
  <si>
    <t>u 88</t>
  </si>
  <si>
    <t>u 89</t>
  </si>
  <si>
    <t>u 90</t>
  </si>
  <si>
    <t>u 91</t>
  </si>
  <si>
    <t>u 92</t>
  </si>
  <si>
    <t>u 93</t>
  </si>
  <si>
    <t>u 94</t>
  </si>
  <si>
    <t>u 95</t>
  </si>
  <si>
    <t>u 96</t>
  </si>
  <si>
    <t>u 97</t>
  </si>
  <si>
    <t>u 98</t>
  </si>
  <si>
    <t>u 99</t>
  </si>
  <si>
    <t>u 100</t>
  </si>
  <si>
    <t>Ui = ui * сигма</t>
  </si>
  <si>
    <t>Ui = ui * сигма + m</t>
  </si>
  <si>
    <t>Ui = ui * сигма * i</t>
  </si>
  <si>
    <r>
      <rPr>
        <b/>
        <sz val="11"/>
        <color theme="1"/>
        <rFont val="Calibri"/>
        <family val="2"/>
        <charset val="204"/>
        <scheme val="minor"/>
      </rPr>
      <t xml:space="preserve">Ui  </t>
    </r>
    <r>
      <rPr>
        <sz val="11"/>
        <color theme="1"/>
        <rFont val="Calibri"/>
        <family val="2"/>
        <charset val="204"/>
        <scheme val="minor"/>
      </rPr>
      <t xml:space="preserve">= </t>
    </r>
    <r>
      <rPr>
        <b/>
        <sz val="11"/>
        <color theme="1"/>
        <rFont val="Calibri"/>
        <family val="2"/>
        <charset val="204"/>
        <scheme val="minor"/>
      </rPr>
      <t>ui</t>
    </r>
    <r>
      <rPr>
        <sz val="11"/>
        <color theme="1"/>
        <rFont val="Calibri"/>
        <family val="2"/>
        <charset val="204"/>
        <scheme val="minor"/>
      </rPr>
      <t xml:space="preserve"> * </t>
    </r>
    <r>
      <rPr>
        <b/>
        <sz val="11"/>
        <color theme="1"/>
        <rFont val="Calibri"/>
        <family val="2"/>
        <charset val="204"/>
        <scheme val="minor"/>
      </rPr>
      <t>сигма</t>
    </r>
  </si>
  <si>
    <r>
      <rPr>
        <b/>
        <sz val="11"/>
        <color theme="1"/>
        <rFont val="Calibri"/>
        <family val="2"/>
        <charset val="204"/>
        <scheme val="minor"/>
      </rPr>
      <t xml:space="preserve">Ui </t>
    </r>
    <r>
      <rPr>
        <sz val="11"/>
        <color theme="1"/>
        <rFont val="Calibri"/>
        <family val="2"/>
        <charset val="204"/>
        <scheme val="minor"/>
      </rPr>
      <t xml:space="preserve">= </t>
    </r>
    <r>
      <rPr>
        <b/>
        <sz val="11"/>
        <color theme="1"/>
        <rFont val="Calibri"/>
        <family val="2"/>
        <charset val="204"/>
        <scheme val="minor"/>
      </rPr>
      <t xml:space="preserve">d </t>
    </r>
    <r>
      <rPr>
        <sz val="11"/>
        <color theme="1"/>
        <rFont val="Calibri"/>
        <family val="2"/>
        <charset val="204"/>
        <scheme val="minor"/>
      </rPr>
      <t xml:space="preserve">* </t>
    </r>
    <r>
      <rPr>
        <b/>
        <sz val="11"/>
        <color theme="1"/>
        <rFont val="Calibri"/>
        <family val="2"/>
        <charset val="204"/>
        <scheme val="minor"/>
      </rPr>
      <t xml:space="preserve">Ui-1 </t>
    </r>
    <r>
      <rPr>
        <sz val="11"/>
        <color theme="1"/>
        <rFont val="Calibri"/>
        <family val="2"/>
        <charset val="204"/>
        <scheme val="minor"/>
      </rPr>
      <t xml:space="preserve">+ </t>
    </r>
    <r>
      <rPr>
        <b/>
        <sz val="11"/>
        <color theme="1"/>
        <rFont val="Calibri"/>
        <family val="2"/>
        <charset val="204"/>
        <scheme val="minor"/>
      </rPr>
      <t>c</t>
    </r>
    <r>
      <rPr>
        <sz val="11"/>
        <color theme="1"/>
        <rFont val="Calibri"/>
        <family val="2"/>
        <charset val="204"/>
        <scheme val="minor"/>
      </rPr>
      <t xml:space="preserve"> * </t>
    </r>
    <r>
      <rPr>
        <b/>
        <sz val="11"/>
        <color theme="1"/>
        <rFont val="Calibri"/>
        <family val="2"/>
        <charset val="204"/>
        <scheme val="minor"/>
      </rPr>
      <t>ui</t>
    </r>
  </si>
  <si>
    <t>при i=2, 3, …</t>
  </si>
  <si>
    <t>Xi(j) = Xi + ui(j)</t>
  </si>
  <si>
    <t>Y1</t>
  </si>
  <si>
    <t>Y=а0+а1*X</t>
  </si>
  <si>
    <t>а. Выполнение всех предпосылок теоремы Гаусса-Маркова</t>
  </si>
  <si>
    <t>б. Нарушение предпосылки о нулевом математическом ожидании остатков</t>
  </si>
  <si>
    <t>в. Нарушение предпосылки о гомоскедастичности остатков</t>
  </si>
  <si>
    <t>г. Нарушение предпосылки о некоррелированности остатков</t>
  </si>
  <si>
    <t>д. Нарушение предпосылки о некоррелированности значений экзогенной переменной и остатков</t>
  </si>
  <si>
    <t>1. Записать на основе функциональной зависимости спецификацию корреляционной зависимости с требуемыми характеристиками</t>
  </si>
  <si>
    <t>В каждом случае провести 10 экспериментов.</t>
  </si>
  <si>
    <t>3. Проанализровать результаты оценивания параметров модели и написать вывод</t>
  </si>
  <si>
    <t>Провести расчеты  для каждого из случаев:</t>
  </si>
  <si>
    <t xml:space="preserve">2. Имитировать  данные для оценивания методом статистических испытаний Монте-Карло и на их основе оценить параметры модели 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</si>
  <si>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</si>
  <si>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</si>
  <si>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</si>
  <si>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</si>
  <si>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</si>
  <si>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</si>
  <si>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</si>
  <si>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</si>
  <si>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</si>
  <si>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</si>
  <si>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</si>
  <si>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</si>
  <si>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</si>
  <si>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</si>
  <si>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</si>
  <si>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</si>
  <si>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</si>
  <si>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</si>
  <si>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</si>
  <si>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</si>
  <si>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</si>
  <si>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</si>
  <si>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</si>
  <si>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</si>
  <si>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</si>
  <si>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</si>
  <si>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</si>
  <si>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</si>
  <si>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</si>
  <si>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</si>
  <si>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</si>
  <si>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</si>
  <si>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</si>
  <si>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</si>
  <si>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</si>
  <si>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</si>
  <si>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</si>
  <si>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</si>
  <si>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</si>
  <si>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</si>
  <si>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</si>
  <si>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</si>
  <si>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</si>
  <si>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</si>
  <si>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</si>
  <si>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</si>
  <si>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</si>
  <si>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</si>
  <si>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</si>
  <si>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</si>
  <si>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</si>
  <si>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</si>
  <si>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</si>
  <si>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</si>
  <si>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</si>
  <si>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</si>
  <si>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</si>
  <si>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</si>
  <si>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</si>
  <si>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</si>
  <si>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</si>
  <si>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</si>
  <si>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</si>
  <si>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</si>
  <si>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</si>
  <si>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</si>
  <si>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</si>
  <si>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</si>
  <si>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</si>
  <si>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</si>
  <si>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</si>
  <si>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</si>
  <si>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</si>
  <si>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</si>
  <si>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</si>
  <si>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</si>
  <si>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</si>
  <si>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</si>
  <si>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</si>
  <si>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</si>
  <si>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</si>
  <si>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</si>
  <si>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</si>
  <si>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</si>
  <si>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</si>
  <si>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</si>
  <si>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</si>
  <si>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</si>
  <si>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</si>
  <si>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</si>
  <si>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</si>
  <si>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</si>
  <si>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</si>
  <si>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</si>
  <si>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</si>
  <si>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</si>
  <si>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</si>
  <si>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</si>
  <si>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</si>
  <si>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1 экс</t>
  </si>
  <si>
    <t>3 экс</t>
  </si>
  <si>
    <t>2 экс</t>
  </si>
  <si>
    <t>4 экс</t>
  </si>
  <si>
    <t>5 экс</t>
  </si>
  <si>
    <t>6 экс</t>
  </si>
  <si>
    <t>7 экс</t>
  </si>
  <si>
    <t>8 экс</t>
  </si>
  <si>
    <t>9 экс</t>
  </si>
  <si>
    <t>10 экс</t>
  </si>
  <si>
    <t>1 ЭКС</t>
  </si>
  <si>
    <t>2 ЭКС</t>
  </si>
  <si>
    <t>3 ЭКС</t>
  </si>
  <si>
    <t>4 ЭКС</t>
  </si>
  <si>
    <t>5 ЭКС</t>
  </si>
  <si>
    <t>6 ЭКС</t>
  </si>
  <si>
    <t>7 ЭКС</t>
  </si>
  <si>
    <t>8 ЭКС</t>
  </si>
  <si>
    <t>9 ЭКС</t>
  </si>
  <si>
    <t>10 ЭКС</t>
  </si>
  <si>
    <t>d=</t>
  </si>
  <si>
    <t>c=</t>
  </si>
  <si>
    <t>Сравнение</t>
  </si>
  <si>
    <t>мин</t>
  </si>
  <si>
    <t>макс</t>
  </si>
  <si>
    <t>a1</t>
  </si>
  <si>
    <t>a0</t>
  </si>
  <si>
    <t>разброс</t>
  </si>
  <si>
    <t>мат. ожид.</t>
  </si>
  <si>
    <t>Изначальные значения</t>
  </si>
  <si>
    <t xml:space="preserve"> При соблюдении всех условий</t>
  </si>
  <si>
    <t>u</t>
  </si>
  <si>
    <t>Вывод: Оценки получились очень близкими к истинным.</t>
  </si>
  <si>
    <t xml:space="preserve">Вывод: Среднее остатков сдвинулось на 100 - этот сдвиг целиком ушёл в a0. Наклон не пострадал. Оценка a₀ стала сильно смещённой </t>
  </si>
  <si>
    <t>Вывод: Оценки стали менее точными, разброс очень большой. a1 и a0 заметно сместились (особенно a₀). Надёжность выводов низкая.</t>
  </si>
  <si>
    <t>Вывод: Оценки остались несмещёнными и на вид даже «лучше» - разброс уменьшился. Но автокорреляция обычно занижает стандартные ошибки, из-за чего коэффициенты кажутся более значимыми, чем на самом деле.</t>
  </si>
  <si>
    <t>Вывод: a1 пострадал не сильно (почти не сместился), а вот a0 сместился вниз на 0,63. Разброс увеличился, что говорит о потере точности.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</si>
</sst>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1" fillId="0" borderId="1" xfId="0" applyFont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1" fillId="0" borderId="7" xfId="0" applyFont="1" applyBorder="1" applyAlignment="1">
      <alignment horizontal="left"/>
    </xf>
    <xf numFmtId="0" fontId="0" fillId="3" borderId="0" xfId="0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8"/>
  <sheetViews>
    <sheetView workbookViewId="0">
      <selection activeCell="B4" sqref="B4"/>
    </sheetView>
  </sheetViews>
  <sheetFormatPr defaultColWidth="9.109375" defaultRowHeight="14.4" x14ac:dyDescent="0.3"/>
  <cols>
    <col min="1" max="1" width="13" style="5" customWidth="1"/>
    <col min="2" max="2" width="14" style="5" customWidth="1"/>
    <col min="3" max="3" width="14.109375" style="5" customWidth="1"/>
    <col min="4" max="4" width="14.88671875" style="5" customWidth="1"/>
    <col min="5" max="5" width="14.33203125" style="5" customWidth="1"/>
    <col min="6" max="7" width="13.88671875" style="5" customWidth="1"/>
    <col min="8" max="8" width="13.33203125" style="5" customWidth="1"/>
    <col min="9" max="9" width="11.5546875" style="5" customWidth="1"/>
    <col min="10" max="10" width="13.88671875" style="5" customWidth="1"/>
    <col min="11" max="11" width="13.109375" style="5" customWidth="1"/>
  </cols>
  <sheetData>
    <row r="1" spans="1:11" s="7" customFormat="1" x14ac:dyDescent="0.3">
      <c r="A1" s="6" t="s">
        <v>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</row>
    <row r="2" spans="1:11" s="7" customForma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x14ac:dyDescent="0.3">
      <c r="A3" s="5" t="s">
        <v>111</v>
      </c>
      <c r="B3" s="5">
        <v>-2.8117028705310076E-2</v>
      </c>
      <c r="C3">
        <v>-1.7017146092257462</v>
      </c>
      <c r="D3">
        <v>-0.54151541917235591</v>
      </c>
      <c r="E3">
        <v>0.39923747863213066</v>
      </c>
      <c r="F3">
        <v>-0.94007952813990003</v>
      </c>
      <c r="G3">
        <v>0.38157054405019153</v>
      </c>
      <c r="H3">
        <v>0.88259866970474832</v>
      </c>
      <c r="I3">
        <v>-2.1222695067990571</v>
      </c>
      <c r="J3">
        <v>0.81152165876119398</v>
      </c>
      <c r="K3">
        <v>-0.94664073913008906</v>
      </c>
    </row>
    <row r="4" spans="1:11" x14ac:dyDescent="0.3">
      <c r="A4" s="5" t="s">
        <v>112</v>
      </c>
      <c r="B4" s="5">
        <v>-0.13377302821027115</v>
      </c>
      <c r="C4">
        <v>2.0590323401847854</v>
      </c>
      <c r="D4">
        <v>2.0433617464732379</v>
      </c>
      <c r="E4">
        <v>1.3031876733293757</v>
      </c>
      <c r="F4">
        <v>0.78448920248774812</v>
      </c>
      <c r="G4">
        <v>-0.91560423243208788</v>
      </c>
      <c r="H4">
        <v>-0.85754288395401002</v>
      </c>
      <c r="I4">
        <v>0.65159156292793341</v>
      </c>
      <c r="J4">
        <v>4.6873083192622289E-2</v>
      </c>
      <c r="K4">
        <v>0.70356463766074695</v>
      </c>
    </row>
    <row r="5" spans="1:11" x14ac:dyDescent="0.3">
      <c r="A5" s="5" t="s">
        <v>113</v>
      </c>
      <c r="B5" s="5">
        <v>-0.63859374677122105</v>
      </c>
      <c r="C5">
        <v>-0.385275598091539</v>
      </c>
      <c r="D5">
        <v>0.934733179747127</v>
      </c>
      <c r="E5">
        <v>2.0791958377230912</v>
      </c>
      <c r="F5">
        <v>0.37335553315642755</v>
      </c>
      <c r="G5">
        <v>-5.1544475354603492E-2</v>
      </c>
      <c r="H5">
        <v>1.29799139156239</v>
      </c>
      <c r="I5">
        <v>-1.1267820809734985</v>
      </c>
      <c r="J5">
        <v>-1.0132885108760092</v>
      </c>
      <c r="K5">
        <v>-0.70180135480768513</v>
      </c>
    </row>
    <row r="6" spans="1:11" x14ac:dyDescent="0.3">
      <c r="A6" s="5" t="s">
        <v>114</v>
      </c>
      <c r="B6" s="5">
        <v>-0.8930373951443471</v>
      </c>
      <c r="C6">
        <v>2.1438609110191464</v>
      </c>
      <c r="D6">
        <v>-2.7810074243461713E-2</v>
      </c>
      <c r="E6">
        <v>-0.30471710488200188</v>
      </c>
      <c r="F6">
        <v>0.31965555535862222</v>
      </c>
      <c r="G6">
        <v>0.29152033675927669</v>
      </c>
      <c r="H6">
        <v>2.2457425075117499</v>
      </c>
      <c r="I6">
        <v>0.3105719770246651</v>
      </c>
      <c r="J6">
        <v>6.8787358031840995E-2</v>
      </c>
      <c r="K6">
        <v>4.4192347559146597E-2</v>
      </c>
    </row>
    <row r="7" spans="1:11" x14ac:dyDescent="0.3">
      <c r="A7" s="5" t="s">
        <v>115</v>
      </c>
      <c r="B7" s="5">
        <v>4.0154191083274782E-3</v>
      </c>
      <c r="C7">
        <v>6.924778972461354E-2</v>
      </c>
      <c r="D7">
        <v>0.46304762690851931</v>
      </c>
      <c r="E7">
        <v>-3.6918663681717589E-2</v>
      </c>
      <c r="F7">
        <v>0.21292521523719188</v>
      </c>
      <c r="G7">
        <v>-8.8125489128287882E-2</v>
      </c>
      <c r="H7">
        <v>-0.26654561224859208</v>
      </c>
      <c r="I7">
        <v>0.3665559233922977</v>
      </c>
      <c r="J7">
        <v>4.2481017066159997E-2</v>
      </c>
      <c r="K7">
        <v>1.5348496162914671</v>
      </c>
    </row>
    <row r="8" spans="1:11" x14ac:dyDescent="0.3">
      <c r="A8" s="5" t="s">
        <v>116</v>
      </c>
      <c r="B8" s="5">
        <v>-0.82779251897591166</v>
      </c>
      <c r="C8">
        <v>-1.8222135622636415</v>
      </c>
      <c r="D8">
        <v>0.5788353973912308</v>
      </c>
      <c r="E8">
        <v>-0.94233882919070311</v>
      </c>
      <c r="F8">
        <v>0.60233332987991162</v>
      </c>
      <c r="G8">
        <v>0.19098592929367442</v>
      </c>
      <c r="H8">
        <v>-0.20940547074133065</v>
      </c>
      <c r="I8">
        <v>-0.79693336374475621</v>
      </c>
      <c r="J8">
        <v>-0.84111889009363949</v>
      </c>
      <c r="K8">
        <v>0.91711854111053981</v>
      </c>
    </row>
    <row r="9" spans="1:11" x14ac:dyDescent="0.3">
      <c r="A9" s="5" t="s">
        <v>117</v>
      </c>
      <c r="B9" s="5">
        <v>1.2953591976838652</v>
      </c>
      <c r="C9">
        <v>-0.91723450168501586</v>
      </c>
      <c r="D9">
        <v>0.90196181190549396</v>
      </c>
      <c r="E9">
        <v>1.1392830856493674</v>
      </c>
      <c r="F9">
        <v>0.25269969228247646</v>
      </c>
      <c r="G9">
        <v>-7.2699322117841803E-2</v>
      </c>
      <c r="H9">
        <v>0.57612396631157026</v>
      </c>
      <c r="I9">
        <v>0.61587002164742444</v>
      </c>
      <c r="J9">
        <v>0.74341869549243711</v>
      </c>
      <c r="K9">
        <v>0.19737854017876089</v>
      </c>
    </row>
    <row r="10" spans="1:11" x14ac:dyDescent="0.3">
      <c r="A10" s="5" t="s">
        <v>118</v>
      </c>
      <c r="B10" s="5">
        <v>0.33288756640104111</v>
      </c>
      <c r="C10">
        <v>-2.1625055524054915</v>
      </c>
      <c r="D10">
        <v>-0.72717966759228148</v>
      </c>
      <c r="E10">
        <v>0.44566036194737535</v>
      </c>
      <c r="F10">
        <v>2.4519977159798145E-2</v>
      </c>
      <c r="G10">
        <v>1.8059563444694504</v>
      </c>
      <c r="H10">
        <v>1.3853036762156989</v>
      </c>
      <c r="I10">
        <v>0.29112129595887382</v>
      </c>
      <c r="J10">
        <v>0.83073098014573998</v>
      </c>
      <c r="K10">
        <v>-1.1263500709901564</v>
      </c>
    </row>
    <row r="11" spans="1:11" x14ac:dyDescent="0.3">
      <c r="A11" s="5" t="s">
        <v>119</v>
      </c>
      <c r="B11" s="5">
        <v>0.69564976001856849</v>
      </c>
      <c r="C11">
        <v>-0.27535406843526289</v>
      </c>
      <c r="D11">
        <v>-0.67283394855621736</v>
      </c>
      <c r="E11">
        <v>4.3962700146948919E-2</v>
      </c>
      <c r="F11">
        <v>-0.24567611944803</v>
      </c>
      <c r="G11">
        <v>1.0691951501939911</v>
      </c>
      <c r="H11">
        <v>1.3251383279566653</v>
      </c>
      <c r="I11">
        <v>0.79756546256248839</v>
      </c>
      <c r="J11">
        <v>1.1324300430715084</v>
      </c>
      <c r="K11">
        <v>0.34276808946742698</v>
      </c>
    </row>
    <row r="12" spans="1:11" x14ac:dyDescent="0.3">
      <c r="A12" s="5" t="s">
        <v>120</v>
      </c>
      <c r="B12" s="5">
        <v>0.26551560949883424</v>
      </c>
      <c r="C12">
        <v>-2.1453797671711072</v>
      </c>
      <c r="D12">
        <v>0.5103288458485622</v>
      </c>
      <c r="E12">
        <v>1.5016667020972818</v>
      </c>
      <c r="F12">
        <v>0.57170382206095383</v>
      </c>
      <c r="G12">
        <v>0.92765276349382475</v>
      </c>
      <c r="H12">
        <v>2.5883491616696119</v>
      </c>
      <c r="I12">
        <v>1.1947486200369895</v>
      </c>
      <c r="J12">
        <v>9.5346877060364932E-2</v>
      </c>
      <c r="K12">
        <v>-0.29367583920247853</v>
      </c>
    </row>
    <row r="13" spans="1:11" x14ac:dyDescent="0.3">
      <c r="A13" s="5" t="s">
        <v>121</v>
      </c>
      <c r="B13" s="5">
        <v>-0.23551820049760863</v>
      </c>
      <c r="C13">
        <v>-0.94640199677087367</v>
      </c>
      <c r="D13">
        <v>-6.4801497501321137E-2</v>
      </c>
      <c r="E13">
        <v>-0.58345449360786006</v>
      </c>
      <c r="F13">
        <v>0.5519973456102889</v>
      </c>
      <c r="G13">
        <v>-0.8523966243956238</v>
      </c>
      <c r="H13">
        <v>0.21167352315387689</v>
      </c>
      <c r="I13">
        <v>2.4379551177844405</v>
      </c>
      <c r="J13">
        <v>-0.41011389839695767</v>
      </c>
      <c r="K13">
        <v>-0.12536474969238043</v>
      </c>
    </row>
    <row r="14" spans="1:11" x14ac:dyDescent="0.3">
      <c r="A14" s="5" t="s">
        <v>122</v>
      </c>
      <c r="B14" s="5">
        <v>-0.30287310437415726</v>
      </c>
      <c r="C14">
        <v>-0.67417659010970965</v>
      </c>
      <c r="D14">
        <v>3.4810909710358828E-3</v>
      </c>
      <c r="E14">
        <v>0.27043142836191691</v>
      </c>
      <c r="F14">
        <v>0.51154984248569235</v>
      </c>
      <c r="G14">
        <v>-1.0406370165583212</v>
      </c>
      <c r="H14">
        <v>0.45633100853592623</v>
      </c>
      <c r="I14">
        <v>-0.70268242780002765</v>
      </c>
      <c r="J14">
        <v>-0.90507001004880294</v>
      </c>
      <c r="K14">
        <v>-2.9954208002891392E-2</v>
      </c>
    </row>
    <row r="15" spans="1:11" x14ac:dyDescent="0.3">
      <c r="A15" s="5" t="s">
        <v>123</v>
      </c>
      <c r="B15" s="5">
        <v>0.14659690350526944</v>
      </c>
      <c r="C15">
        <v>1.9512481230776757</v>
      </c>
      <c r="D15">
        <v>0.5782021617051214</v>
      </c>
      <c r="E15">
        <v>0.21347318579501007</v>
      </c>
      <c r="F15">
        <v>-1.6997637430904433</v>
      </c>
      <c r="G15">
        <v>1.3650196706294082</v>
      </c>
      <c r="H15">
        <v>-0.37499228003433999</v>
      </c>
      <c r="I15">
        <v>1.8051741790259257</v>
      </c>
      <c r="J15">
        <v>-0.1849912223406136</v>
      </c>
      <c r="K15">
        <v>-0.32513526093680412</v>
      </c>
    </row>
    <row r="16" spans="1:11" x14ac:dyDescent="0.3">
      <c r="A16" s="5" t="s">
        <v>124</v>
      </c>
      <c r="B16" s="5">
        <v>6.4642335928510875E-3</v>
      </c>
      <c r="C16">
        <v>0.34171421248174738</v>
      </c>
      <c r="D16">
        <v>-1.273747329832986E-2</v>
      </c>
      <c r="E16">
        <v>-1.2401733329170384</v>
      </c>
      <c r="F16">
        <v>1.7792535800253972</v>
      </c>
      <c r="G16">
        <v>0.62096432884573005</v>
      </c>
      <c r="H16">
        <v>6.51084519631695E-2</v>
      </c>
      <c r="I16">
        <v>-0.49834056881081779</v>
      </c>
      <c r="J16">
        <v>-0.45768956624669954</v>
      </c>
      <c r="K16">
        <v>1.1930342225241499</v>
      </c>
    </row>
    <row r="17" spans="1:11" x14ac:dyDescent="0.3">
      <c r="A17" s="5" t="s">
        <v>125</v>
      </c>
      <c r="B17" s="5">
        <v>-0.21081291379232425</v>
      </c>
      <c r="C17">
        <v>8.3748545876005664E-2</v>
      </c>
      <c r="D17">
        <v>-0.22420749701268505</v>
      </c>
      <c r="E17">
        <v>0.44988837544224225</v>
      </c>
      <c r="F17">
        <v>-1.0146959539270028</v>
      </c>
      <c r="G17">
        <v>2.0235120246070437E-2</v>
      </c>
      <c r="H17">
        <v>8.3672375694732182E-2</v>
      </c>
      <c r="I17">
        <v>-8.3134636952308938E-2</v>
      </c>
      <c r="J17">
        <v>-0.16200374375330284</v>
      </c>
      <c r="K17">
        <v>-0.13331077247858</v>
      </c>
    </row>
    <row r="18" spans="1:11" x14ac:dyDescent="0.3">
      <c r="A18" s="5" t="s">
        <v>126</v>
      </c>
      <c r="B18" s="5">
        <v>-0.23182337827165611</v>
      </c>
      <c r="C18">
        <v>0.19862682165694423</v>
      </c>
      <c r="D18">
        <v>0.98692453320836648</v>
      </c>
      <c r="E18">
        <v>0.13616613614431117</v>
      </c>
      <c r="F18">
        <v>0.56693579608690925</v>
      </c>
      <c r="G18">
        <v>-0.61005493989796378</v>
      </c>
      <c r="H18">
        <v>-1.1423329599201599</v>
      </c>
      <c r="I18">
        <v>0.55627879191888496</v>
      </c>
      <c r="J18">
        <v>-1.1568795343919192</v>
      </c>
      <c r="K18">
        <v>-0.12582631825353019</v>
      </c>
    </row>
    <row r="19" spans="1:11" x14ac:dyDescent="0.3">
      <c r="A19" s="5" t="s">
        <v>127</v>
      </c>
      <c r="B19" s="5">
        <v>0.87584339780732989</v>
      </c>
      <c r="C19">
        <v>0.20276274881325662</v>
      </c>
      <c r="D19">
        <v>0.80283371062250808</v>
      </c>
      <c r="E19">
        <v>0.59455487644299865</v>
      </c>
      <c r="F19">
        <v>-1.86023419498815</v>
      </c>
      <c r="G19">
        <v>1.0862868293770589</v>
      </c>
      <c r="H19">
        <v>-0.60375748237129001</v>
      </c>
      <c r="I19">
        <v>-0.12729287846013904</v>
      </c>
      <c r="J19">
        <v>-0.88678461906965822</v>
      </c>
      <c r="K19">
        <v>0.41903376768459566</v>
      </c>
    </row>
    <row r="20" spans="1:11" x14ac:dyDescent="0.3">
      <c r="A20" s="5" t="s">
        <v>128</v>
      </c>
      <c r="B20" s="5">
        <v>-0.69477209763135761</v>
      </c>
      <c r="C20">
        <v>0.12706095731118694</v>
      </c>
      <c r="D20">
        <v>-8.8663227870711125E-2</v>
      </c>
      <c r="E20">
        <v>0.34593426789797377</v>
      </c>
      <c r="F20">
        <v>-1.5311343304347247</v>
      </c>
      <c r="G20">
        <v>3.852619556710124E-2</v>
      </c>
      <c r="H20">
        <v>1.9653089111670852</v>
      </c>
      <c r="I20">
        <v>-0.1144235284300521</v>
      </c>
      <c r="J20">
        <v>2.4903101802919991E-2</v>
      </c>
      <c r="K20">
        <v>-0.68836015998385847</v>
      </c>
    </row>
    <row r="21" spans="1:11" x14ac:dyDescent="0.3">
      <c r="A21" s="5" t="s">
        <v>129</v>
      </c>
      <c r="B21" s="5">
        <v>-0.74705440056277439</v>
      </c>
      <c r="C21">
        <v>-1.6428884919150732</v>
      </c>
      <c r="D21">
        <v>0.4860794433625415</v>
      </c>
      <c r="E21">
        <v>0.18678065316635184</v>
      </c>
      <c r="F21">
        <v>0.46364448280655779</v>
      </c>
      <c r="G21">
        <v>0.23158690964919515</v>
      </c>
      <c r="H21">
        <v>-0.18296384243877001</v>
      </c>
      <c r="I21">
        <v>-0.30183286980900448</v>
      </c>
      <c r="J21">
        <v>0.86545014710281976</v>
      </c>
      <c r="K21">
        <v>1.5862860891502299</v>
      </c>
    </row>
    <row r="22" spans="1:11" x14ac:dyDescent="0.3">
      <c r="A22" s="5" t="s">
        <v>130</v>
      </c>
      <c r="B22" s="5">
        <v>-0.46671175368828699</v>
      </c>
      <c r="C22">
        <v>0.89235300038126297</v>
      </c>
      <c r="D22">
        <v>-0.6025152288202662</v>
      </c>
      <c r="E22">
        <v>-0.16657850210322067</v>
      </c>
      <c r="F22">
        <v>-1.7248877409438099</v>
      </c>
      <c r="G22">
        <v>0.86256250142469071</v>
      </c>
      <c r="H22">
        <v>-0.17123397810792085</v>
      </c>
      <c r="I22">
        <v>-8.8355136540485546E-2</v>
      </c>
      <c r="J22">
        <v>-0.81631696957629174</v>
      </c>
      <c r="K22">
        <v>0.76036712925997563</v>
      </c>
    </row>
    <row r="23" spans="1:11" x14ac:dyDescent="0.3">
      <c r="A23" s="5" t="s">
        <v>131</v>
      </c>
      <c r="B23" s="5">
        <v>0.51477854867698625</v>
      </c>
      <c r="C23">
        <v>0.68729377744602971</v>
      </c>
      <c r="D23">
        <v>-0.65357994571968447</v>
      </c>
      <c r="E23">
        <v>-0.70092028181534261</v>
      </c>
      <c r="F23">
        <v>0.44794205678044818</v>
      </c>
      <c r="G23">
        <v>0.41344492274220102</v>
      </c>
      <c r="H23">
        <v>-0.30303453968372196</v>
      </c>
      <c r="I23">
        <v>-1.6530020729987882</v>
      </c>
      <c r="J23">
        <v>-0.281397660728544</v>
      </c>
      <c r="K23">
        <v>-1.0000826478062663</v>
      </c>
    </row>
    <row r="24" spans="1:11" x14ac:dyDescent="0.3">
      <c r="A24" s="5" t="s">
        <v>132</v>
      </c>
      <c r="B24" s="5">
        <v>0.63568904806743376</v>
      </c>
      <c r="C24">
        <v>0.47603066377632786</v>
      </c>
      <c r="D24">
        <v>-1.4709667084389366</v>
      </c>
      <c r="E24">
        <v>1.3424551070784219</v>
      </c>
      <c r="F24">
        <v>0.24756900529609993</v>
      </c>
      <c r="G24">
        <v>0.3266677595092915</v>
      </c>
      <c r="H24">
        <v>-0.36050254898145001</v>
      </c>
      <c r="I24">
        <v>-2.3135726223699749</v>
      </c>
      <c r="J24">
        <v>-0.18724790606938768</v>
      </c>
      <c r="K24">
        <v>1.2054397302563302</v>
      </c>
    </row>
    <row r="25" spans="1:11" x14ac:dyDescent="0.3">
      <c r="A25" s="5" t="s">
        <v>133</v>
      </c>
      <c r="B25" s="5">
        <v>-0.83081204138579778</v>
      </c>
      <c r="C25">
        <v>0.91293259174562991</v>
      </c>
      <c r="D25">
        <v>1.0389294402557425</v>
      </c>
      <c r="E25">
        <v>-0.33677110877761152</v>
      </c>
      <c r="F25">
        <v>1.4522674973704852</v>
      </c>
      <c r="G25">
        <v>0.15603745850967243</v>
      </c>
      <c r="H25">
        <v>0.7311700755963102</v>
      </c>
      <c r="I25">
        <v>0.95120185505948029</v>
      </c>
      <c r="J25">
        <v>0.11062036012298999</v>
      </c>
      <c r="K25">
        <v>-1.4177794582792558</v>
      </c>
    </row>
    <row r="26" spans="1:11" x14ac:dyDescent="0.3">
      <c r="A26" s="5" t="s">
        <v>134</v>
      </c>
      <c r="B26" s="5">
        <v>-0.67273731474415399</v>
      </c>
      <c r="C26">
        <v>0.32287744033965282</v>
      </c>
      <c r="D26">
        <v>0.8635606718598865</v>
      </c>
      <c r="E26">
        <v>1.1972520042036194</v>
      </c>
      <c r="F26">
        <v>0.39005840335448738</v>
      </c>
      <c r="G26">
        <v>-0.1115745362767484</v>
      </c>
      <c r="H26">
        <v>1.0768144420580938</v>
      </c>
      <c r="I26">
        <v>-0.73959199653472751</v>
      </c>
      <c r="J26">
        <v>-6.0049387684557587E-3</v>
      </c>
      <c r="K26">
        <v>1.2393502402119339</v>
      </c>
    </row>
    <row r="27" spans="1:11" x14ac:dyDescent="0.3">
      <c r="A27" s="5" t="s">
        <v>135</v>
      </c>
      <c r="B27" s="5">
        <v>0.38535745261469856</v>
      </c>
      <c r="C27">
        <v>-1.2923555914312601</v>
      </c>
      <c r="D27">
        <v>0.44684384192805737</v>
      </c>
      <c r="E27">
        <v>-0.4571802492137067</v>
      </c>
      <c r="F27">
        <v>0.74513309300527908</v>
      </c>
      <c r="G27">
        <v>0.17340767044515815</v>
      </c>
      <c r="H27">
        <v>-1.3165367818146478</v>
      </c>
      <c r="I27">
        <v>-1.5257228369591758</v>
      </c>
      <c r="J27">
        <v>-0.17985712474910542</v>
      </c>
      <c r="K27">
        <v>-0.71270505941356532</v>
      </c>
    </row>
    <row r="28" spans="1:11" x14ac:dyDescent="0.3">
      <c r="A28" s="5" t="s">
        <v>136</v>
      </c>
      <c r="B28" s="5">
        <v>0.53100393415661529</v>
      </c>
      <c r="C28">
        <v>1.1561314749997109</v>
      </c>
      <c r="D28">
        <v>4.6029526856727898E-2</v>
      </c>
      <c r="E28">
        <v>0.17154434317490086</v>
      </c>
      <c r="F28">
        <v>0.62152139435056597</v>
      </c>
      <c r="G28">
        <v>0.54142674343893304</v>
      </c>
      <c r="H28">
        <v>7.1931935963220894E-2</v>
      </c>
      <c r="I28">
        <v>-1.102575879485812</v>
      </c>
      <c r="J28">
        <v>0.27503688215801958</v>
      </c>
      <c r="K28">
        <v>-0.1141916072811</v>
      </c>
    </row>
    <row r="29" spans="1:11" x14ac:dyDescent="0.3">
      <c r="A29" s="5" t="s">
        <v>137</v>
      </c>
      <c r="B29" s="5">
        <v>0.4237995199218858</v>
      </c>
      <c r="C29">
        <v>1.0216308510280214</v>
      </c>
      <c r="D29">
        <v>-0.79514848039252684</v>
      </c>
      <c r="E29">
        <v>-1.498838173574768</v>
      </c>
      <c r="F29">
        <v>0.7260837264766451</v>
      </c>
      <c r="G29">
        <v>0.79851133705233224</v>
      </c>
      <c r="H29">
        <v>-0.50971948439837433</v>
      </c>
      <c r="I29">
        <v>0.42371539166197181</v>
      </c>
      <c r="J29">
        <v>-0.47783032641746104</v>
      </c>
      <c r="K29">
        <v>0.49194113671546802</v>
      </c>
    </row>
    <row r="30" spans="1:11" x14ac:dyDescent="0.3">
      <c r="A30" s="5" t="s">
        <v>138</v>
      </c>
      <c r="B30" s="5">
        <v>-0.49375557864550501</v>
      </c>
      <c r="C30">
        <v>1.151072410721099</v>
      </c>
      <c r="D30">
        <v>-0.74685203799162991</v>
      </c>
      <c r="E30">
        <v>0.29671241463802289</v>
      </c>
      <c r="F30">
        <v>0.76210426414036192</v>
      </c>
      <c r="G30">
        <v>0.81823827713378705</v>
      </c>
      <c r="H30">
        <v>0.64885171013884246</v>
      </c>
      <c r="I30">
        <v>1.7383126760250889</v>
      </c>
      <c r="J30">
        <v>-0.11550127965165302</v>
      </c>
      <c r="K30">
        <v>1.3014005162403919</v>
      </c>
    </row>
    <row r="31" spans="1:11" x14ac:dyDescent="0.3">
      <c r="A31" s="5" t="s">
        <v>139</v>
      </c>
      <c r="B31" s="5">
        <v>0.27909095479117241</v>
      </c>
      <c r="C31">
        <v>1.3502176443580538</v>
      </c>
      <c r="D31">
        <v>2.9330112738534808</v>
      </c>
      <c r="E31">
        <v>-1.2622626854863483</v>
      </c>
      <c r="F31">
        <v>-1.42379951992188</v>
      </c>
      <c r="G31">
        <v>-0.43176214603590779</v>
      </c>
      <c r="H31">
        <v>0.2838669388438575</v>
      </c>
      <c r="I31">
        <v>0.22978042579779867</v>
      </c>
      <c r="J31">
        <v>0.66107986640417948</v>
      </c>
      <c r="K31">
        <v>-0.51198526307416614</v>
      </c>
    </row>
    <row r="32" spans="1:11" x14ac:dyDescent="0.3">
      <c r="A32" s="5" t="s">
        <v>140</v>
      </c>
      <c r="B32" s="5">
        <v>2.2982749214861542</v>
      </c>
      <c r="C32">
        <v>-1.2114719538658392</v>
      </c>
      <c r="D32">
        <v>-0.22091398932388984</v>
      </c>
      <c r="E32">
        <v>1.3462295100907795</v>
      </c>
      <c r="F32">
        <v>0.29104171517246868</v>
      </c>
      <c r="G32">
        <v>0.29056309358566068</v>
      </c>
      <c r="H32">
        <v>7.0244823291432112E-2</v>
      </c>
      <c r="I32">
        <v>-0.99016688182018697</v>
      </c>
      <c r="J32">
        <v>0.79819528764346614</v>
      </c>
      <c r="K32">
        <v>-1.4302213457995094</v>
      </c>
    </row>
    <row r="33" spans="1:11" x14ac:dyDescent="0.3">
      <c r="A33" s="5" t="s">
        <v>141</v>
      </c>
      <c r="B33" s="5">
        <v>0.10034227670985274</v>
      </c>
      <c r="C33">
        <v>-1.689795681159012</v>
      </c>
      <c r="D33">
        <v>2.2553831513505429</v>
      </c>
      <c r="E33">
        <v>-0.99743829196086153</v>
      </c>
      <c r="F33">
        <v>-0.76241121860221028</v>
      </c>
      <c r="G33">
        <v>1.0821554496942554</v>
      </c>
      <c r="H33">
        <v>7.382823241641745E-3</v>
      </c>
      <c r="I33">
        <v>1.7098500393331051E-2</v>
      </c>
      <c r="J33">
        <v>-0.47115236156969331</v>
      </c>
      <c r="K33">
        <v>-2.707711246330291</v>
      </c>
    </row>
    <row r="34" spans="1:11" x14ac:dyDescent="0.3">
      <c r="A34" s="5" t="s">
        <v>142</v>
      </c>
      <c r="B34" s="5">
        <v>0.72111333793145604</v>
      </c>
      <c r="C34">
        <v>0.61994342104298994</v>
      </c>
      <c r="D34">
        <v>-0.48289621190633625</v>
      </c>
      <c r="E34">
        <v>-5.1314827942405827E-2</v>
      </c>
      <c r="F34">
        <v>0.34414824767736718</v>
      </c>
      <c r="G34">
        <v>2.0577590476023033</v>
      </c>
      <c r="H34">
        <v>-3.4272670745849609</v>
      </c>
      <c r="I34">
        <v>-0.15921386875561439</v>
      </c>
      <c r="J34">
        <v>-1.8562514014774933</v>
      </c>
      <c r="K34">
        <v>-2.3371740098809823E-2</v>
      </c>
    </row>
    <row r="35" spans="1:11" x14ac:dyDescent="0.3">
      <c r="A35" s="5" t="s">
        <v>143</v>
      </c>
      <c r="B35" s="5">
        <v>-1.1188785720150918</v>
      </c>
      <c r="C35">
        <v>-0.17185470824188087</v>
      </c>
      <c r="D35">
        <v>-1.0166172614844982</v>
      </c>
      <c r="E35">
        <v>0.22585481929127127</v>
      </c>
      <c r="F35">
        <v>-5.2846189646515995E-2</v>
      </c>
      <c r="G35">
        <v>-0.98842065199278295</v>
      </c>
      <c r="H35">
        <v>1.7736965673975646</v>
      </c>
      <c r="I35">
        <v>0.98022383099305443</v>
      </c>
      <c r="J35">
        <v>0.36639221434597857</v>
      </c>
      <c r="K35">
        <v>0.6156847121019382</v>
      </c>
    </row>
    <row r="36" spans="1:11" x14ac:dyDescent="0.3">
      <c r="A36" s="5" t="s">
        <v>144</v>
      </c>
      <c r="B36" s="5">
        <v>-0.26932184482575394</v>
      </c>
      <c r="C36">
        <v>1.3477483662427403</v>
      </c>
      <c r="D36">
        <v>0.64385517362097744</v>
      </c>
      <c r="E36">
        <v>0.66537040765979327</v>
      </c>
      <c r="F36">
        <v>0.97923475550487638</v>
      </c>
      <c r="G36">
        <v>-1.0308281161997002</v>
      </c>
      <c r="H36">
        <v>-1.5965997590683401</v>
      </c>
      <c r="I36">
        <v>-0.53956682677380741</v>
      </c>
      <c r="J36">
        <v>-1.6390640666941181</v>
      </c>
      <c r="K36">
        <v>1.1848123904201202</v>
      </c>
    </row>
    <row r="37" spans="1:11" x14ac:dyDescent="0.3">
      <c r="A37" s="5" t="s">
        <v>145</v>
      </c>
      <c r="B37" s="5">
        <v>0.14976876627770253</v>
      </c>
      <c r="C37">
        <v>0.43806949179270305</v>
      </c>
      <c r="D37">
        <v>-7.8759967436781153E-2</v>
      </c>
      <c r="E37">
        <v>-0.78448920248774812</v>
      </c>
      <c r="F37">
        <v>-0.81269263318972662</v>
      </c>
      <c r="G37">
        <v>0.28761178327840753</v>
      </c>
      <c r="H37">
        <v>-0.45955857785884291</v>
      </c>
      <c r="I37">
        <v>0.73667933975229971</v>
      </c>
      <c r="J37">
        <v>-1.1347560757712927</v>
      </c>
      <c r="K37">
        <v>-0.30712158149981406</v>
      </c>
    </row>
    <row r="38" spans="1:11" x14ac:dyDescent="0.3">
      <c r="A38" s="5" t="s">
        <v>146</v>
      </c>
      <c r="B38" s="5">
        <v>0.19644176063593477</v>
      </c>
      <c r="C38">
        <v>4.6336481318576261E-2</v>
      </c>
      <c r="D38">
        <v>1.4169472706271335</v>
      </c>
      <c r="E38">
        <v>-0.61457512856577523</v>
      </c>
      <c r="F38">
        <v>1.3799308362649754</v>
      </c>
      <c r="G38">
        <v>-0.42488750295888167</v>
      </c>
      <c r="H38">
        <v>1.4864872355246916</v>
      </c>
      <c r="I38">
        <v>0.96329813459306024</v>
      </c>
      <c r="J38">
        <v>-0.20502852748904843</v>
      </c>
      <c r="K38">
        <v>0.985680799203692</v>
      </c>
    </row>
    <row r="39" spans="1:11" x14ac:dyDescent="0.3">
      <c r="A39" s="5" t="s">
        <v>147</v>
      </c>
      <c r="B39" s="5">
        <v>-0.36099891076446511</v>
      </c>
      <c r="C39">
        <v>1.7788806871976703</v>
      </c>
      <c r="D39">
        <v>1.1131760402349755</v>
      </c>
      <c r="E39">
        <v>-0.35431185096967965</v>
      </c>
      <c r="F39">
        <v>-0.37581685319310054</v>
      </c>
      <c r="G39">
        <v>-1.0825669960468076</v>
      </c>
      <c r="H39">
        <v>-0.81216057878918946</v>
      </c>
      <c r="I39">
        <v>0.20003085410280619</v>
      </c>
      <c r="J39">
        <v>-0.83774693848681636</v>
      </c>
      <c r="K39">
        <v>0.53453049986273982</v>
      </c>
    </row>
    <row r="40" spans="1:11" x14ac:dyDescent="0.3">
      <c r="A40" s="5" t="s">
        <v>148</v>
      </c>
      <c r="B40" s="5">
        <v>1.0795497473736759</v>
      </c>
      <c r="C40">
        <v>-1.4888018995407037</v>
      </c>
      <c r="D40">
        <v>1.7046477296389639</v>
      </c>
      <c r="E40">
        <v>1.4660190572612919</v>
      </c>
      <c r="F40">
        <v>0.70532905738218687</v>
      </c>
      <c r="G40">
        <v>-0.17301999832852744</v>
      </c>
      <c r="H40">
        <v>0.14597844710806385</v>
      </c>
      <c r="I40">
        <v>1.0061557986773551</v>
      </c>
      <c r="J40">
        <v>0.58336354413768277</v>
      </c>
      <c r="K40">
        <v>0.2629803930176422</v>
      </c>
    </row>
    <row r="41" spans="1:11" x14ac:dyDescent="0.3">
      <c r="A41" s="5" t="s">
        <v>149</v>
      </c>
      <c r="B41" s="5">
        <v>-0.626912424195325</v>
      </c>
      <c r="C41">
        <v>0.53347093853517435</v>
      </c>
      <c r="D41">
        <v>1.2643022273550741</v>
      </c>
      <c r="E41">
        <v>-0.2392164333286928</v>
      </c>
      <c r="F41">
        <v>0.47072489905986004</v>
      </c>
      <c r="G41">
        <v>-1.317084752372466</v>
      </c>
      <c r="H41">
        <v>-2.6370980776846409</v>
      </c>
      <c r="I41">
        <v>-1.2668579074670561</v>
      </c>
      <c r="J41">
        <v>0.20682591639342718</v>
      </c>
      <c r="K41">
        <v>-0.67187556851422414</v>
      </c>
    </row>
    <row r="42" spans="1:11" x14ac:dyDescent="0.3">
      <c r="A42" s="5" t="s">
        <v>150</v>
      </c>
      <c r="B42" s="5">
        <v>5.8525984059087932E-3</v>
      </c>
      <c r="C42">
        <v>0.37237214201013558</v>
      </c>
      <c r="D42">
        <v>-2.4939072318375111</v>
      </c>
      <c r="E42">
        <v>0.89771901912172325</v>
      </c>
      <c r="F42">
        <v>-1.2054397302563302</v>
      </c>
      <c r="G42">
        <v>-1.7242746253032237</v>
      </c>
      <c r="H42">
        <v>0.17682623365544714</v>
      </c>
      <c r="I42">
        <v>2.0577590476023033</v>
      </c>
      <c r="J42">
        <v>-0.88338993009529077</v>
      </c>
      <c r="K42">
        <v>-0.68062490754527971</v>
      </c>
    </row>
    <row r="43" spans="1:11" x14ac:dyDescent="0.3">
      <c r="A43" s="5" t="s">
        <v>151</v>
      </c>
      <c r="B43" s="5">
        <v>-0.2559386302891653</v>
      </c>
      <c r="C43">
        <v>0.4274011189409066</v>
      </c>
      <c r="D43">
        <v>0.57576244216761552</v>
      </c>
      <c r="E43">
        <v>-0.14744728105142713</v>
      </c>
      <c r="F43">
        <v>1.1442739378253464</v>
      </c>
      <c r="G43">
        <v>-0.71359409048454836</v>
      </c>
      <c r="H43">
        <v>-2.880597094190307E-2</v>
      </c>
      <c r="I43">
        <v>-0.11973725122516043</v>
      </c>
      <c r="J43">
        <v>0.61436219059397001</v>
      </c>
      <c r="K43">
        <v>2.5589542929083109</v>
      </c>
    </row>
    <row r="44" spans="1:11" x14ac:dyDescent="0.3">
      <c r="A44" s="5" t="s">
        <v>152</v>
      </c>
      <c r="B44" s="5">
        <v>-4.6412651499849744E-2</v>
      </c>
      <c r="C44">
        <v>-0.23599000087415334</v>
      </c>
      <c r="D44">
        <v>-0.1174271346826572</v>
      </c>
      <c r="E44">
        <v>-0.34009190130745992</v>
      </c>
      <c r="F44">
        <v>0.86925717571284999</v>
      </c>
      <c r="G44">
        <v>-4.5110937207937241E-2</v>
      </c>
      <c r="H44">
        <v>-0.26393081498099491</v>
      </c>
      <c r="I44">
        <v>2.5260305847041309</v>
      </c>
      <c r="J44">
        <v>0.98851921595632997</v>
      </c>
      <c r="K44">
        <v>-0.3129002834612038</v>
      </c>
    </row>
    <row r="45" spans="1:11" x14ac:dyDescent="0.3">
      <c r="A45" s="5" t="s">
        <v>153</v>
      </c>
      <c r="B45" s="5">
        <v>0.33442347557866015</v>
      </c>
      <c r="C45">
        <v>-0.66584789237822406</v>
      </c>
      <c r="D45">
        <v>-0.93603830464417115</v>
      </c>
      <c r="E45">
        <v>0.16960370885499287</v>
      </c>
      <c r="F45">
        <v>-0.23237362256622873</v>
      </c>
      <c r="G45">
        <v>1.2802820492652245</v>
      </c>
      <c r="H45">
        <v>0.3925356395484414</v>
      </c>
      <c r="I45">
        <v>-0.93627477326663211</v>
      </c>
      <c r="J45">
        <v>-0.36442997952690348</v>
      </c>
      <c r="K45">
        <v>-0.38469806895591319</v>
      </c>
    </row>
    <row r="46" spans="1:11" x14ac:dyDescent="0.3">
      <c r="A46" s="5" t="s">
        <v>154</v>
      </c>
      <c r="B46" s="5">
        <v>-0.38915004552109167</v>
      </c>
      <c r="C46">
        <v>0.19379058358026668</v>
      </c>
      <c r="D46">
        <v>-1.1972520042036194</v>
      </c>
      <c r="E46">
        <v>-0.3303819084976567</v>
      </c>
      <c r="F46">
        <v>1.1174506653333083</v>
      </c>
      <c r="G46">
        <v>0.73457272264931817</v>
      </c>
      <c r="H46">
        <v>0.11704173630278092</v>
      </c>
      <c r="I46">
        <v>0.44549096855917014</v>
      </c>
      <c r="J46">
        <v>-1.0395865501777735</v>
      </c>
      <c r="K46">
        <v>0.27011424208467361</v>
      </c>
    </row>
    <row r="47" spans="1:11" x14ac:dyDescent="0.3">
      <c r="A47" s="5" t="s">
        <v>155</v>
      </c>
      <c r="B47" s="5">
        <v>-1.1417751011322252</v>
      </c>
      <c r="C47">
        <v>-0.51705001169466414</v>
      </c>
      <c r="D47">
        <v>0.86656427811249159</v>
      </c>
      <c r="E47">
        <v>-0.70287796916090883</v>
      </c>
      <c r="F47">
        <v>0.84111889009363949</v>
      </c>
      <c r="G47">
        <v>0.18670334611670114</v>
      </c>
      <c r="H47">
        <v>0.17387378647981677</v>
      </c>
      <c r="I47">
        <v>-0.86078671301947907</v>
      </c>
      <c r="J47">
        <v>-0.18094510778610129</v>
      </c>
      <c r="K47">
        <v>-0.8355755198863335</v>
      </c>
    </row>
    <row r="48" spans="1:11" x14ac:dyDescent="0.3">
      <c r="A48" s="5" t="s">
        <v>156</v>
      </c>
      <c r="B48" s="5">
        <v>-0.80167183114099316</v>
      </c>
      <c r="C48">
        <v>0.46108993956295308</v>
      </c>
      <c r="D48">
        <v>-0.83590066424221732</v>
      </c>
      <c r="E48">
        <v>0.87035573415050749</v>
      </c>
      <c r="F48">
        <v>0.36770188671653159</v>
      </c>
      <c r="G48">
        <v>-1.3710678103961982</v>
      </c>
      <c r="H48">
        <v>0.83785607785102911</v>
      </c>
      <c r="I48">
        <v>0.49747541197575629</v>
      </c>
      <c r="J48">
        <v>0.69243696998455562</v>
      </c>
      <c r="K48">
        <v>-1.0200869837717619</v>
      </c>
    </row>
    <row r="49" spans="1:11" x14ac:dyDescent="0.3">
      <c r="A49" s="5" t="s">
        <v>157</v>
      </c>
      <c r="B49" s="5">
        <v>0.15789623830642086</v>
      </c>
      <c r="C49">
        <v>-0.10641883818607312</v>
      </c>
      <c r="D49">
        <v>-1.4186161934048869</v>
      </c>
      <c r="E49">
        <v>-2.1721098164562136</v>
      </c>
      <c r="F49">
        <v>1.9600520317908376</v>
      </c>
      <c r="G49">
        <v>0.77041477197781205</v>
      </c>
      <c r="H49">
        <v>-2.8346676117507741E-2</v>
      </c>
      <c r="I49">
        <v>-0.89863533503375947</v>
      </c>
      <c r="J49">
        <v>-0.23528173187514767</v>
      </c>
      <c r="K49">
        <v>-1.3101953300065361</v>
      </c>
    </row>
    <row r="50" spans="1:11" x14ac:dyDescent="0.3">
      <c r="A50" s="5" t="s">
        <v>158</v>
      </c>
      <c r="B50" s="5">
        <v>0.26599082048051059</v>
      </c>
      <c r="C50">
        <v>-0.78532366387662478</v>
      </c>
      <c r="D50">
        <v>-0.33620381145738065</v>
      </c>
      <c r="E50">
        <v>1.0047597243101336</v>
      </c>
      <c r="F50">
        <v>0.14327270037028939</v>
      </c>
      <c r="G50">
        <v>-3.5618086258182302E-2</v>
      </c>
      <c r="H50">
        <v>1.8485934560885653</v>
      </c>
      <c r="I50">
        <v>0.63840616348898038</v>
      </c>
      <c r="J50">
        <v>0.44684384192805737</v>
      </c>
      <c r="K50">
        <v>-0.3998172815045109</v>
      </c>
    </row>
    <row r="51" spans="1:11" x14ac:dyDescent="0.3">
      <c r="A51" s="5" t="s">
        <v>159</v>
      </c>
      <c r="B51" s="5">
        <v>1.6958847481873818</v>
      </c>
      <c r="C51">
        <v>0.53382450460048858</v>
      </c>
      <c r="D51">
        <v>1.5167188394116238</v>
      </c>
      <c r="E51">
        <v>-9.3436837196299999E-3</v>
      </c>
      <c r="F51">
        <v>-1.337948560831137</v>
      </c>
      <c r="G51">
        <v>-1.3867020243196748</v>
      </c>
      <c r="H51">
        <v>-0.45505771595344413</v>
      </c>
      <c r="I51">
        <v>7.4924173532053828E-2</v>
      </c>
      <c r="J51">
        <v>-0.36999495023337658</v>
      </c>
      <c r="K51">
        <v>-5.6677436077734455E-2</v>
      </c>
    </row>
    <row r="52" spans="1:11" x14ac:dyDescent="0.3">
      <c r="A52" s="5" t="s">
        <v>160</v>
      </c>
      <c r="B52" s="5">
        <v>0.4659455044020433</v>
      </c>
      <c r="C52">
        <v>-0.58417981563252397</v>
      </c>
      <c r="D52">
        <v>0.95397126642637886</v>
      </c>
      <c r="E52">
        <v>-1.0398480299045332</v>
      </c>
      <c r="F52">
        <v>-1.1562815416255035</v>
      </c>
      <c r="G52">
        <v>-0.27082819542556535</v>
      </c>
      <c r="H52">
        <v>-1.5935984265524894</v>
      </c>
      <c r="I52">
        <v>0.293357516056858</v>
      </c>
      <c r="J52">
        <v>0.67034158948807998</v>
      </c>
      <c r="K52">
        <v>0.33571950552868657</v>
      </c>
    </row>
    <row r="53" spans="1:11" x14ac:dyDescent="0.3">
      <c r="A53" s="5" t="s">
        <v>161</v>
      </c>
      <c r="B53" s="5">
        <v>-1.4899615052854642</v>
      </c>
      <c r="C53">
        <v>1.7566253518452868</v>
      </c>
      <c r="D53">
        <v>-1.1234692465222906</v>
      </c>
      <c r="E53">
        <v>0.54986003306112252</v>
      </c>
      <c r="F53">
        <v>-0.82155793279525824</v>
      </c>
      <c r="G53">
        <v>1.3355156625038944</v>
      </c>
      <c r="H53">
        <v>-0.22962353796174284</v>
      </c>
      <c r="I53">
        <v>-2.063516149064526</v>
      </c>
      <c r="J53">
        <v>-8.4517068899003789E-2</v>
      </c>
      <c r="K53">
        <v>-0.19683284335769713</v>
      </c>
    </row>
    <row r="54" spans="1:11" x14ac:dyDescent="0.3">
      <c r="A54" s="5" t="s">
        <v>162</v>
      </c>
      <c r="B54" s="5">
        <v>-1.5727027857792564</v>
      </c>
      <c r="C54">
        <v>0.30399519346246962</v>
      </c>
      <c r="D54">
        <v>-9.5346877060364932E-2</v>
      </c>
      <c r="E54">
        <v>1.2329428500379436</v>
      </c>
      <c r="F54">
        <v>0.42346414375060704</v>
      </c>
      <c r="G54">
        <v>-0.62728418015467469</v>
      </c>
      <c r="H54">
        <v>-0.36868414099444635</v>
      </c>
      <c r="I54">
        <v>-0.82962515079998411</v>
      </c>
      <c r="J54">
        <v>0.77526237873826176</v>
      </c>
      <c r="K54">
        <v>-0.52768734551500995</v>
      </c>
    </row>
    <row r="55" spans="1:11" x14ac:dyDescent="0.3">
      <c r="A55" s="5" t="s">
        <v>163</v>
      </c>
      <c r="B55" s="5">
        <v>0.24417886379524134</v>
      </c>
      <c r="C55">
        <v>-0.69399447966134176</v>
      </c>
      <c r="D55">
        <v>0.5434640115709044</v>
      </c>
      <c r="E55">
        <v>0.28880776881123893</v>
      </c>
      <c r="F55">
        <v>1.4657916835858487</v>
      </c>
      <c r="G55">
        <v>-0.67783048507408239</v>
      </c>
      <c r="H55">
        <v>-1.6728154150769114</v>
      </c>
      <c r="I55">
        <v>0.94436927611241117</v>
      </c>
      <c r="J55">
        <v>-9.4655661087017506E-2</v>
      </c>
      <c r="K55">
        <v>-0.56003273130045272</v>
      </c>
    </row>
    <row r="56" spans="1:11" x14ac:dyDescent="0.3">
      <c r="A56" s="5" t="s">
        <v>164</v>
      </c>
      <c r="B56" s="5">
        <v>-1.8948867364088073</v>
      </c>
      <c r="C56">
        <v>1.620019247638993</v>
      </c>
      <c r="D56">
        <v>1.5524756236118264</v>
      </c>
      <c r="E56">
        <v>0.1975342911464395</v>
      </c>
      <c r="F56">
        <v>-9.7037400337285362E-2</v>
      </c>
      <c r="G56">
        <v>-0.37967879507050384</v>
      </c>
      <c r="H56">
        <v>-0.80716972661321051</v>
      </c>
      <c r="I56">
        <v>0.97001020549214445</v>
      </c>
      <c r="J56">
        <v>-9.0121829998679459E-2</v>
      </c>
      <c r="K56">
        <v>-1.2370446711429395</v>
      </c>
    </row>
    <row r="57" spans="1:11" x14ac:dyDescent="0.3">
      <c r="A57" s="5" t="s">
        <v>165</v>
      </c>
      <c r="B57" s="5">
        <v>-0.32908928915276192</v>
      </c>
      <c r="C57">
        <v>-8.6743057181593031E-2</v>
      </c>
      <c r="D57">
        <v>0.80801783042261377</v>
      </c>
      <c r="E57">
        <v>1.8186074157711118</v>
      </c>
      <c r="F57">
        <v>0.37639210859197192</v>
      </c>
      <c r="G57">
        <v>0.66986331148655154</v>
      </c>
      <c r="H57">
        <v>-4.3361746473230003E-2</v>
      </c>
      <c r="I57">
        <v>-9.7959400591207668E-2</v>
      </c>
      <c r="J57">
        <v>-0.58333023136947004</v>
      </c>
      <c r="K57">
        <v>1.0336952982470393</v>
      </c>
    </row>
    <row r="58" spans="1:11" x14ac:dyDescent="0.3">
      <c r="A58" s="5" t="s">
        <v>166</v>
      </c>
      <c r="B58" s="5">
        <v>0.18063474271912128</v>
      </c>
      <c r="C58">
        <v>-0.12914370017824695</v>
      </c>
      <c r="D58">
        <v>0.63101424530032091</v>
      </c>
      <c r="E58">
        <v>-0.18009018276643474</v>
      </c>
      <c r="F58">
        <v>1.6506055544596165</v>
      </c>
      <c r="G58">
        <v>-0.42438500713615213</v>
      </c>
      <c r="H58">
        <v>-0.92847585619892925</v>
      </c>
      <c r="I58">
        <v>-0.54612655731034465</v>
      </c>
      <c r="J58">
        <v>0.76374135460355319</v>
      </c>
      <c r="K58">
        <v>-7.6688593253493309E-2</v>
      </c>
    </row>
    <row r="59" spans="1:11" x14ac:dyDescent="0.3">
      <c r="A59" s="5" t="s">
        <v>167</v>
      </c>
      <c r="B59" s="5">
        <v>-0.37984364098520018</v>
      </c>
      <c r="C59">
        <v>-1.1903875929419883</v>
      </c>
      <c r="D59">
        <v>-9.5116092779790051E-2</v>
      </c>
      <c r="E59">
        <v>-0.64150412981689442</v>
      </c>
      <c r="F59">
        <v>-0.44599801185540855</v>
      </c>
      <c r="G59">
        <v>-1.5311343304347247</v>
      </c>
      <c r="H59">
        <v>2.4091059458442032</v>
      </c>
      <c r="I59">
        <v>-0.82520728028612211</v>
      </c>
      <c r="J59">
        <v>0.64951336753438227</v>
      </c>
      <c r="K59">
        <v>-0.75486241257749498</v>
      </c>
    </row>
    <row r="60" spans="1:11" x14ac:dyDescent="0.3">
      <c r="A60" s="5" t="s">
        <v>168</v>
      </c>
      <c r="B60" s="5">
        <v>-0.92190475697861984</v>
      </c>
      <c r="C60">
        <v>-1.4881061360938475</v>
      </c>
      <c r="D60">
        <v>1.4542456483468413</v>
      </c>
      <c r="E60">
        <v>-0.48109086492331699</v>
      </c>
      <c r="F60">
        <v>-0.76016249295207672</v>
      </c>
      <c r="G60">
        <v>-9.5653831522213295E-2</v>
      </c>
      <c r="H60">
        <v>-0.64436642080545004</v>
      </c>
      <c r="I60">
        <v>-1.2014925232506357</v>
      </c>
      <c r="J60">
        <v>-1.2815007721656002</v>
      </c>
      <c r="K60">
        <v>-0.96915300673572347</v>
      </c>
    </row>
    <row r="61" spans="1:11" x14ac:dyDescent="0.3">
      <c r="A61" s="5" t="s">
        <v>169</v>
      </c>
      <c r="B61" s="5">
        <v>0.69234033617249224</v>
      </c>
      <c r="C61">
        <v>-0.21590039978036657</v>
      </c>
      <c r="D61">
        <v>-1.2390182746457867</v>
      </c>
      <c r="E61">
        <v>-0.36933897717972286</v>
      </c>
      <c r="F61">
        <v>-0.60738443607988302</v>
      </c>
      <c r="G61">
        <v>1.192411218653433</v>
      </c>
      <c r="H61">
        <v>0.83535951489466242</v>
      </c>
      <c r="I61">
        <v>-0.40031409298535436</v>
      </c>
      <c r="J61">
        <v>1.1473707672848832</v>
      </c>
      <c r="K61">
        <v>-0.64703124028165004</v>
      </c>
    </row>
    <row r="62" spans="1:11" x14ac:dyDescent="0.3">
      <c r="A62" s="5" t="s">
        <v>170</v>
      </c>
      <c r="B62" s="5">
        <v>0.47038383854669519</v>
      </c>
      <c r="C62">
        <v>-1.5116665963432752</v>
      </c>
      <c r="D62">
        <v>0.92847585619892925</v>
      </c>
      <c r="E62">
        <v>0.12359123502392322</v>
      </c>
      <c r="F62">
        <v>0.83442352863493996</v>
      </c>
      <c r="G62">
        <v>-0.91351239461801015</v>
      </c>
      <c r="H62">
        <v>2.0811967260669917</v>
      </c>
      <c r="I62">
        <v>0.1898172286018962</v>
      </c>
      <c r="J62">
        <v>0.51504002840374596</v>
      </c>
      <c r="K62">
        <v>0.78626044341945089</v>
      </c>
    </row>
    <row r="63" spans="1:11" x14ac:dyDescent="0.3">
      <c r="A63" s="5" t="s">
        <v>171</v>
      </c>
      <c r="B63" s="5">
        <v>1.7049751477316022</v>
      </c>
      <c r="C63">
        <v>0.44988837544224225</v>
      </c>
      <c r="D63">
        <v>-0.12181772035546601</v>
      </c>
      <c r="E63">
        <v>0.63045376919035334</v>
      </c>
      <c r="F63">
        <v>0.59565081755863503</v>
      </c>
      <c r="G63">
        <v>1.0444568943057675</v>
      </c>
      <c r="H63">
        <v>-1.5152727428358048</v>
      </c>
      <c r="I63">
        <v>-0.76333208198775537</v>
      </c>
      <c r="J63">
        <v>-0.77021013566991314</v>
      </c>
      <c r="K63">
        <v>-0.22742483452020679</v>
      </c>
    </row>
    <row r="64" spans="1:11" x14ac:dyDescent="0.3">
      <c r="A64" s="5" t="s">
        <v>172</v>
      </c>
      <c r="B64" s="5">
        <v>-0.22883796191308647</v>
      </c>
      <c r="C64">
        <v>0.77743379733874463</v>
      </c>
      <c r="D64">
        <v>-1.3026510714553297</v>
      </c>
      <c r="E64">
        <v>-0.70758687797933817</v>
      </c>
      <c r="F64">
        <v>-0.4062894731760025</v>
      </c>
      <c r="G64">
        <v>1.3244016372482292</v>
      </c>
      <c r="H64">
        <v>0.43806949179270305</v>
      </c>
      <c r="I64">
        <v>-9.0736875790753402E-2</v>
      </c>
      <c r="J64">
        <v>1.2513100955402479</v>
      </c>
      <c r="K64">
        <v>0.23717007024970371</v>
      </c>
    </row>
    <row r="65" spans="1:11" x14ac:dyDescent="0.3">
      <c r="A65" s="5" t="s">
        <v>173</v>
      </c>
      <c r="B65" s="5">
        <v>-0.20206016415613703</v>
      </c>
      <c r="C65">
        <v>-0.48109086492331699</v>
      </c>
      <c r="D65">
        <v>2.3984512154129334E-2</v>
      </c>
      <c r="E65">
        <v>1.6346848497050814</v>
      </c>
      <c r="F65">
        <v>-1.5254772733896971</v>
      </c>
      <c r="G65">
        <v>0.70798023443785496</v>
      </c>
      <c r="H65">
        <v>7.5460775406099856E-2</v>
      </c>
      <c r="I65">
        <v>-1.3893077266402543</v>
      </c>
      <c r="J65">
        <v>2.0811967260669917</v>
      </c>
      <c r="K65">
        <v>0.56325689001823775</v>
      </c>
    </row>
    <row r="66" spans="1:11" x14ac:dyDescent="0.3">
      <c r="A66" s="5" t="s">
        <v>174</v>
      </c>
      <c r="B66" s="5">
        <v>-1.0140547601622529</v>
      </c>
      <c r="C66">
        <v>0.45183696784079075</v>
      </c>
      <c r="D66">
        <v>1.4163197192829102</v>
      </c>
      <c r="E66">
        <v>-0.19168737708241679</v>
      </c>
      <c r="F66">
        <v>0.48418166645569999</v>
      </c>
      <c r="G66">
        <v>0.73107764567248001</v>
      </c>
      <c r="H66">
        <v>0.5425772542366758</v>
      </c>
      <c r="I66">
        <v>-1.9765047909459099</v>
      </c>
      <c r="J66">
        <v>-0.35969264899904374</v>
      </c>
      <c r="K66">
        <v>-0.59063495427835733</v>
      </c>
    </row>
    <row r="67" spans="1:11" x14ac:dyDescent="0.3">
      <c r="A67" s="5" t="s">
        <v>175</v>
      </c>
      <c r="B67" s="5">
        <v>2.0235120246070437E-2</v>
      </c>
      <c r="C67">
        <v>0.30151227292662952</v>
      </c>
      <c r="D67">
        <v>-1.0549410944804549</v>
      </c>
      <c r="E67">
        <v>1.2491364032030106</v>
      </c>
      <c r="F67">
        <v>-9.4731831268290989E-2</v>
      </c>
      <c r="G67">
        <v>-1.0578833098406903</v>
      </c>
      <c r="H67">
        <v>-1.5563182387268171</v>
      </c>
      <c r="I67">
        <v>0.97800011644721963</v>
      </c>
      <c r="J67">
        <v>1.3819180821883492</v>
      </c>
      <c r="K67">
        <v>2.8652493710978888E-2</v>
      </c>
    </row>
    <row r="68" spans="1:11" x14ac:dyDescent="0.3">
      <c r="A68" s="5" t="s">
        <v>176</v>
      </c>
      <c r="B68" s="5">
        <v>0.51442839321680367</v>
      </c>
      <c r="C68">
        <v>4.0516852095606737E-2</v>
      </c>
      <c r="D68">
        <v>-0.39658743844483979</v>
      </c>
      <c r="E68">
        <v>-0.90196181190549396</v>
      </c>
      <c r="F68">
        <v>-0.57269517128588632</v>
      </c>
      <c r="G68">
        <v>0.22146309675008524</v>
      </c>
      <c r="H68">
        <v>-0.30655996852146927</v>
      </c>
      <c r="I68">
        <v>1.2983741726202425</v>
      </c>
      <c r="J68">
        <v>1.0355233825976029</v>
      </c>
      <c r="K68">
        <v>-0.13462226888805162</v>
      </c>
    </row>
    <row r="69" spans="1:11" x14ac:dyDescent="0.3">
      <c r="A69" s="5" t="s">
        <v>177</v>
      </c>
      <c r="B69" s="5">
        <v>-1.1719475878635421</v>
      </c>
      <c r="C69">
        <v>0.67216205934528261</v>
      </c>
      <c r="D69">
        <v>1.1183078640897293</v>
      </c>
      <c r="E69">
        <v>0.14342731446959078</v>
      </c>
      <c r="F69">
        <v>0.32731350074755028</v>
      </c>
      <c r="G69">
        <v>0.58663090385380201</v>
      </c>
      <c r="H69">
        <v>0.52011273510288447</v>
      </c>
      <c r="I69">
        <v>-0.1171179064840544</v>
      </c>
      <c r="J69">
        <v>0.52397126637515612</v>
      </c>
      <c r="K69">
        <v>2.1310916054062545</v>
      </c>
    </row>
    <row r="70" spans="1:11" x14ac:dyDescent="0.3">
      <c r="A70" s="5" t="s">
        <v>178</v>
      </c>
      <c r="B70" s="5">
        <v>-0.87764192358008586</v>
      </c>
      <c r="C70">
        <v>-0.19792423699982464</v>
      </c>
      <c r="D70">
        <v>-0.79504388850182295</v>
      </c>
      <c r="E70">
        <v>-0.88508613771409728</v>
      </c>
      <c r="F70">
        <v>2.9494913178496063E-2</v>
      </c>
      <c r="G70">
        <v>-1.9466551748337224</v>
      </c>
      <c r="H70">
        <v>-1.0407688932900783</v>
      </c>
      <c r="I70">
        <v>-0.61263563111424446</v>
      </c>
      <c r="J70">
        <v>-0.48831907406565733</v>
      </c>
      <c r="K70">
        <v>-0.36521521199029</v>
      </c>
    </row>
    <row r="71" spans="1:11" x14ac:dyDescent="0.3">
      <c r="A71" s="5" t="s">
        <v>179</v>
      </c>
      <c r="B71" s="5">
        <v>1.06610434866161</v>
      </c>
      <c r="C71">
        <v>-0.41177827370120212</v>
      </c>
      <c r="D71">
        <v>-1.2877853805548511</v>
      </c>
      <c r="E71">
        <v>-1.2143436833866872</v>
      </c>
      <c r="F71">
        <v>0.19566186892916448</v>
      </c>
      <c r="G71">
        <v>-0.74604258770705201</v>
      </c>
      <c r="H71">
        <v>-0.38321559259202331</v>
      </c>
      <c r="I71">
        <v>0.67225755628896877</v>
      </c>
      <c r="J71">
        <v>-1.0502822078706231</v>
      </c>
      <c r="K71">
        <v>1.3919225239078514</v>
      </c>
    </row>
    <row r="72" spans="1:11" x14ac:dyDescent="0.3">
      <c r="A72" s="5" t="s">
        <v>180</v>
      </c>
      <c r="B72" s="5">
        <v>0.4511582574195927</v>
      </c>
      <c r="C72">
        <v>-1.1441261449363083</v>
      </c>
      <c r="D72">
        <v>-0.81770394899649546</v>
      </c>
      <c r="E72">
        <v>-0.94544475359725766</v>
      </c>
      <c r="F72">
        <v>-0.46500645112246275</v>
      </c>
      <c r="G72">
        <v>-1.4115403246250935</v>
      </c>
      <c r="H72">
        <v>-0.64075265981955454</v>
      </c>
      <c r="I72">
        <v>-1.9846629584208131</v>
      </c>
      <c r="J72">
        <v>0.36304072636994533</v>
      </c>
      <c r="K72">
        <v>0.4135279141337378</v>
      </c>
    </row>
    <row r="73" spans="1:11" x14ac:dyDescent="0.3">
      <c r="A73" s="5" t="s">
        <v>181</v>
      </c>
      <c r="B73" s="5">
        <v>1.2256145964784082</v>
      </c>
      <c r="C73">
        <v>0.23866505216574296</v>
      </c>
      <c r="D73">
        <v>2.1459527488332242E-2</v>
      </c>
      <c r="E73">
        <v>-1.0783173820527736</v>
      </c>
      <c r="F73">
        <v>8.0262907431460917E-4</v>
      </c>
      <c r="G73">
        <v>-0.70356463766074739</v>
      </c>
      <c r="H73">
        <v>1.7355432646581903</v>
      </c>
      <c r="I73">
        <v>-1.5054592950036749</v>
      </c>
      <c r="J73">
        <v>0.30439650799962692</v>
      </c>
      <c r="K73">
        <v>-0.68787585405516438</v>
      </c>
    </row>
    <row r="74" spans="1:11" x14ac:dyDescent="0.3">
      <c r="A74" s="5" t="s">
        <v>182</v>
      </c>
      <c r="B74" s="5">
        <v>-0.30327441891131457</v>
      </c>
      <c r="C74">
        <v>1.0536086847423576</v>
      </c>
      <c r="D74">
        <v>-7.7916411100886762E-2</v>
      </c>
      <c r="E74">
        <v>-0.37516088013944682</v>
      </c>
      <c r="F74">
        <v>9.4655661087017506E-2</v>
      </c>
      <c r="G74">
        <v>1.0226631275145337</v>
      </c>
      <c r="H74">
        <v>-0.99957787824678235</v>
      </c>
      <c r="I74">
        <v>0.98506006906973198</v>
      </c>
      <c r="J74">
        <v>-0.16510398381797131</v>
      </c>
      <c r="K74">
        <v>1.9027720554731786</v>
      </c>
    </row>
    <row r="75" spans="1:11" x14ac:dyDescent="0.3">
      <c r="A75" s="5" t="s">
        <v>183</v>
      </c>
      <c r="B75" s="5">
        <v>0.38148755265865475</v>
      </c>
      <c r="C75">
        <v>-1.0037479114544112</v>
      </c>
      <c r="D75">
        <v>-0.6261666385398712</v>
      </c>
      <c r="E75">
        <v>-0.93971948444959708</v>
      </c>
      <c r="F75">
        <v>0.79451865531154908</v>
      </c>
      <c r="G75">
        <v>0.10457256394147407</v>
      </c>
      <c r="H75">
        <v>-0.1386376879963791</v>
      </c>
      <c r="I75">
        <v>0.99004182629869319</v>
      </c>
      <c r="J75">
        <v>0.97689053291105665</v>
      </c>
      <c r="K75">
        <v>-0.33645244204671998</v>
      </c>
    </row>
    <row r="76" spans="1:11" x14ac:dyDescent="0.3">
      <c r="A76" s="5" t="s">
        <v>184</v>
      </c>
      <c r="B76" s="5">
        <v>0.4005630671599647</v>
      </c>
      <c r="C76">
        <v>-0.59145349950995296</v>
      </c>
      <c r="D76">
        <v>4.3655745685100555E-2</v>
      </c>
      <c r="E76">
        <v>-0.27249598133494146</v>
      </c>
      <c r="F76">
        <v>-0.86023419498815201</v>
      </c>
      <c r="G76">
        <v>-1.5596651792293414</v>
      </c>
      <c r="H76">
        <v>-1.1461906979093328</v>
      </c>
      <c r="I76">
        <v>-0.3915442903235089</v>
      </c>
      <c r="J76">
        <v>-0.46577497414546087</v>
      </c>
      <c r="K76">
        <v>-0.18126990855670999</v>
      </c>
    </row>
    <row r="77" spans="1:11" x14ac:dyDescent="0.3">
      <c r="A77" s="5" t="s">
        <v>185</v>
      </c>
      <c r="B77" s="5">
        <v>0.26773477657116018</v>
      </c>
      <c r="C77">
        <v>-2.4443806978524663E-2</v>
      </c>
      <c r="D77">
        <v>-1.4939283826388401</v>
      </c>
      <c r="E77">
        <v>-1.9517665350576863</v>
      </c>
      <c r="F77">
        <v>-0.54737029131501913</v>
      </c>
      <c r="G77">
        <v>0.76671540227835067</v>
      </c>
      <c r="H77">
        <v>-0.33539436117280275</v>
      </c>
      <c r="I77">
        <v>-0.24701648726477288</v>
      </c>
      <c r="J77">
        <v>0.30872570278006606</v>
      </c>
      <c r="K77">
        <v>0.13176645552448463</v>
      </c>
    </row>
    <row r="78" spans="1:11" x14ac:dyDescent="0.3">
      <c r="A78" s="5" t="s">
        <v>186</v>
      </c>
      <c r="B78" s="5">
        <v>-1.0946041584247723</v>
      </c>
      <c r="C78">
        <v>0.37573499866994098</v>
      </c>
      <c r="D78">
        <v>-0.35162429412594065</v>
      </c>
      <c r="E78">
        <v>0.77484855864895508</v>
      </c>
      <c r="F78">
        <v>-0.93805510914535262</v>
      </c>
      <c r="G78">
        <v>-1.5068872016854584</v>
      </c>
      <c r="H78">
        <v>1.18016862668446</v>
      </c>
      <c r="I78">
        <v>0.35569655665312894</v>
      </c>
      <c r="J78">
        <v>-3.117747837677598E-2</v>
      </c>
      <c r="K78">
        <v>-0.94568349595647305</v>
      </c>
    </row>
    <row r="79" spans="1:11" x14ac:dyDescent="0.3">
      <c r="A79" s="5" t="s">
        <v>187</v>
      </c>
      <c r="B79" s="5">
        <v>-2.1333107724785805</v>
      </c>
      <c r="C79">
        <v>0.71725025918567553</v>
      </c>
      <c r="D79">
        <v>-0.91968331616953947</v>
      </c>
      <c r="E79">
        <v>-3.9368615034618415E-2</v>
      </c>
      <c r="F79">
        <v>-1.3634689821628854</v>
      </c>
      <c r="G79">
        <v>0.2178580871259328</v>
      </c>
      <c r="H79">
        <v>-0.51399183575995266</v>
      </c>
      <c r="I79">
        <v>0.82456381278461777</v>
      </c>
      <c r="J79">
        <v>2.0680363377323374</v>
      </c>
      <c r="K79">
        <v>0.32763637136667967</v>
      </c>
    </row>
    <row r="80" spans="1:11" x14ac:dyDescent="0.3">
      <c r="A80" s="5" t="s">
        <v>188</v>
      </c>
      <c r="B80" s="5">
        <v>1.2717808911256701</v>
      </c>
      <c r="C80">
        <v>-0.70807800511829555</v>
      </c>
      <c r="D80">
        <v>3.2325715437764302E-2</v>
      </c>
      <c r="E80">
        <v>-0.94556526164524257</v>
      </c>
      <c r="F80">
        <v>0.51938365888781002</v>
      </c>
      <c r="G80">
        <v>-0.74745912570506334</v>
      </c>
      <c r="H80">
        <v>-0.90541561803547665</v>
      </c>
      <c r="I80">
        <v>-1.9497110770316795</v>
      </c>
      <c r="J80">
        <v>9.3118615041021258E-2</v>
      </c>
      <c r="K80">
        <v>0.20252855392755009</v>
      </c>
    </row>
    <row r="81" spans="1:11" x14ac:dyDescent="0.3">
      <c r="A81" s="5" t="s">
        <v>189</v>
      </c>
      <c r="B81" s="5">
        <v>1.51591314331744</v>
      </c>
      <c r="C81">
        <v>-1.4045303942111786</v>
      </c>
      <c r="D81">
        <v>0.16541434888495132</v>
      </c>
      <c r="E81">
        <v>-1.3196358850109391</v>
      </c>
      <c r="F81">
        <v>-0.39609176383237354</v>
      </c>
      <c r="G81">
        <v>-1.0601615940686315</v>
      </c>
      <c r="H81">
        <v>6.9937868829583749E-2</v>
      </c>
      <c r="I81">
        <v>1.0268013284076005</v>
      </c>
      <c r="J81">
        <v>-0.45522710934164934</v>
      </c>
      <c r="K81">
        <v>-9.5731138571863994E-2</v>
      </c>
    </row>
    <row r="82" spans="1:11" x14ac:dyDescent="0.3">
      <c r="A82" s="5" t="s">
        <v>190</v>
      </c>
      <c r="B82" s="5">
        <v>0.49756181397242472</v>
      </c>
      <c r="C82">
        <v>-2.7454370865598321</v>
      </c>
      <c r="D82">
        <v>7.8682660387130454E-2</v>
      </c>
      <c r="E82">
        <v>0.62384287957684137</v>
      </c>
      <c r="F82">
        <v>0.23103780222299974</v>
      </c>
      <c r="G82">
        <v>-1.8679475033422932</v>
      </c>
      <c r="H82">
        <v>-0.20237280295987148</v>
      </c>
      <c r="I82">
        <v>2.1765345081803389E-2</v>
      </c>
      <c r="J82">
        <v>-0.25214603738277219</v>
      </c>
      <c r="K82">
        <v>-0.3446773411706</v>
      </c>
    </row>
    <row r="83" spans="1:11" x14ac:dyDescent="0.3">
      <c r="A83" s="5" t="s">
        <v>191</v>
      </c>
      <c r="B83" s="5">
        <v>1.1384054232621565</v>
      </c>
      <c r="C83">
        <v>0.37245399653329514</v>
      </c>
      <c r="D83">
        <v>1.2610757949005347</v>
      </c>
      <c r="E83">
        <v>-1.9711387722054496</v>
      </c>
      <c r="F83">
        <v>1.1395741239539348</v>
      </c>
      <c r="G83">
        <v>-5.1085180530208163E-2</v>
      </c>
      <c r="H83">
        <v>0.98406644610804506</v>
      </c>
      <c r="I83">
        <v>0.36230517252988648</v>
      </c>
      <c r="J83">
        <v>0.50379946717294</v>
      </c>
      <c r="K83">
        <v>-0.42239514389075</v>
      </c>
    </row>
    <row r="84" spans="1:11" x14ac:dyDescent="0.3">
      <c r="A84" s="5" t="s">
        <v>192</v>
      </c>
      <c r="B84" s="5">
        <v>-4.7332378017017618E-2</v>
      </c>
      <c r="C84">
        <v>0.67062956077279523</v>
      </c>
      <c r="D84">
        <v>0.2860974745999556</v>
      </c>
      <c r="E84">
        <v>0.6699588084302377</v>
      </c>
      <c r="F84">
        <v>-1.0983717402268667</v>
      </c>
      <c r="G84">
        <v>-0.68419694798649289</v>
      </c>
      <c r="H84">
        <v>-0.93485368779511191</v>
      </c>
      <c r="I84">
        <v>1.3033650247962214</v>
      </c>
      <c r="J84">
        <v>-0.45760543798678555</v>
      </c>
      <c r="K84">
        <v>-0.31885065254755318</v>
      </c>
    </row>
    <row r="85" spans="1:11" x14ac:dyDescent="0.3">
      <c r="A85" s="5" t="s">
        <v>193</v>
      </c>
      <c r="B85" s="5">
        <v>0.72508782977820374</v>
      </c>
      <c r="C85">
        <v>-1.5695513866376132</v>
      </c>
      <c r="D85">
        <v>0.63915649661794305</v>
      </c>
      <c r="E85">
        <v>0.24551809474360198</v>
      </c>
      <c r="F85">
        <v>-1.6968533600447699</v>
      </c>
      <c r="G85">
        <v>0.81834514276124537</v>
      </c>
      <c r="H85">
        <v>-0.58417981563252397</v>
      </c>
      <c r="I85">
        <v>0.28737304091919214</v>
      </c>
      <c r="J85">
        <v>1.1080737749580294</v>
      </c>
      <c r="K85">
        <v>0.1918431280500954</v>
      </c>
    </row>
    <row r="86" spans="1:11" x14ac:dyDescent="0.3">
      <c r="A86" s="5" t="s">
        <v>194</v>
      </c>
      <c r="B86" s="5">
        <v>-0.36091705624130554</v>
      </c>
      <c r="C86">
        <v>0.35284529076307081</v>
      </c>
      <c r="D86">
        <v>1.3458520697895437</v>
      </c>
      <c r="E86">
        <v>-1.5653677110094577</v>
      </c>
      <c r="F86">
        <v>0.41078010326600634</v>
      </c>
      <c r="G86">
        <v>0.1054183940141229</v>
      </c>
      <c r="H86">
        <v>-0.12621285350178368</v>
      </c>
      <c r="I86">
        <v>-1.5375871953438036</v>
      </c>
      <c r="J86">
        <v>0.14706074580317363</v>
      </c>
      <c r="K86">
        <v>-0.25135705072898418</v>
      </c>
    </row>
    <row r="87" spans="1:11" x14ac:dyDescent="0.3">
      <c r="A87" s="5" t="s">
        <v>195</v>
      </c>
      <c r="B87" s="5">
        <v>-0.25080453269765712</v>
      </c>
      <c r="C87">
        <v>0.73477394835208543</v>
      </c>
      <c r="D87">
        <v>-1.175144461740274</v>
      </c>
      <c r="E87">
        <v>1.5779960449435748</v>
      </c>
      <c r="F87">
        <v>8.7917891913090004E-2</v>
      </c>
      <c r="G87">
        <v>0.96573330665705726</v>
      </c>
      <c r="H87">
        <v>-4.8787569539854303E-2</v>
      </c>
      <c r="I87">
        <v>-0.56388444136246108</v>
      </c>
      <c r="J87">
        <v>0.39203996493597515</v>
      </c>
      <c r="K87">
        <v>-0.12226950679905001</v>
      </c>
    </row>
    <row r="88" spans="1:11" x14ac:dyDescent="0.3">
      <c r="A88" s="5" t="s">
        <v>196</v>
      </c>
      <c r="B88" s="5">
        <v>0.91293259174562991</v>
      </c>
      <c r="C88">
        <v>-1.3724388736591209</v>
      </c>
      <c r="D88">
        <v>0.48418542064609937</v>
      </c>
      <c r="E88">
        <v>-0.2194777809782</v>
      </c>
      <c r="F88">
        <v>-0.12359123502392322</v>
      </c>
      <c r="G88">
        <v>0.66900156525662169</v>
      </c>
      <c r="H88">
        <v>-0.57404804465477355</v>
      </c>
      <c r="I88">
        <v>-1.8551418179413304E-2</v>
      </c>
      <c r="J88">
        <v>1.8202081264462322</v>
      </c>
      <c r="K88">
        <v>-0.60049842431908473</v>
      </c>
    </row>
    <row r="89" spans="1:11" x14ac:dyDescent="0.3">
      <c r="A89" s="5" t="s">
        <v>197</v>
      </c>
      <c r="B89" s="5">
        <v>-0.24260316422441974</v>
      </c>
      <c r="C89">
        <v>0.14180500329530332</v>
      </c>
      <c r="D89">
        <v>0.82843826021417044</v>
      </c>
      <c r="E89">
        <v>0.70268242780002765</v>
      </c>
      <c r="F89">
        <v>-0.1606849764357321</v>
      </c>
      <c r="G89">
        <v>1.5903378880466335</v>
      </c>
      <c r="H89">
        <v>-1.1059546523028985</v>
      </c>
      <c r="I89">
        <v>1.7138791008619592</v>
      </c>
      <c r="J89">
        <v>-0.21754431145382114</v>
      </c>
      <c r="K89">
        <v>0.14157308214635123</v>
      </c>
    </row>
    <row r="90" spans="1:11" x14ac:dyDescent="0.3">
      <c r="A90" s="5" t="s">
        <v>198</v>
      </c>
      <c r="B90" s="5">
        <v>-0.79462438407063019</v>
      </c>
      <c r="C90">
        <v>0.65168705987161957</v>
      </c>
      <c r="D90">
        <v>-0.31506942832493223</v>
      </c>
      <c r="E90">
        <v>-0.26922566071151999</v>
      </c>
      <c r="F90">
        <v>0.52116433835180942</v>
      </c>
      <c r="G90">
        <v>-1.2141845218138769</v>
      </c>
      <c r="H90">
        <v>-6.1581886257044971E-2</v>
      </c>
      <c r="I90">
        <v>0.40106101550918538</v>
      </c>
      <c r="J90">
        <v>1.20528056868352</v>
      </c>
      <c r="K90">
        <v>1.5274417819455266</v>
      </c>
    </row>
    <row r="91" spans="1:11" x14ac:dyDescent="0.3">
      <c r="A91" s="5" t="s">
        <v>199</v>
      </c>
      <c r="B91" s="5">
        <v>-0.40147597246686928</v>
      </c>
      <c r="C91">
        <v>-0.52563791541615501</v>
      </c>
      <c r="D91">
        <v>-0.26424800125823822</v>
      </c>
      <c r="E91">
        <v>-0.84221028373576701</v>
      </c>
      <c r="F91">
        <v>0.15270870790118352</v>
      </c>
      <c r="G91">
        <v>-1.3083899830235168</v>
      </c>
      <c r="H91">
        <v>-0.66766233430826105</v>
      </c>
      <c r="I91">
        <v>0.72658167482586578</v>
      </c>
      <c r="J91">
        <v>0.2001866050704848</v>
      </c>
      <c r="K91">
        <v>-0.12544205674203113</v>
      </c>
    </row>
    <row r="92" spans="1:11" x14ac:dyDescent="0.3">
      <c r="A92" s="5" t="s">
        <v>200</v>
      </c>
      <c r="B92" s="5">
        <v>-1.9046456145588309</v>
      </c>
      <c r="C92">
        <v>-1.8967330106534064</v>
      </c>
      <c r="D92">
        <v>-1.4230272427084856</v>
      </c>
      <c r="E92">
        <v>0.51775032261502929</v>
      </c>
      <c r="F92">
        <v>0.2717808911256725</v>
      </c>
      <c r="G92">
        <v>1.3847056834492832</v>
      </c>
      <c r="H92">
        <v>1.16324293028446</v>
      </c>
      <c r="I92">
        <v>1.1080737749580294</v>
      </c>
      <c r="J92">
        <v>0.34347680816426002</v>
      </c>
      <c r="K92">
        <v>-0.15100567907211371</v>
      </c>
    </row>
    <row r="93" spans="1:11" x14ac:dyDescent="0.3">
      <c r="A93" s="5" t="s">
        <v>201</v>
      </c>
      <c r="B93" s="5">
        <v>2.4232758732978255</v>
      </c>
      <c r="C93">
        <v>1.2711370800388977</v>
      </c>
      <c r="D93">
        <v>-1.65670860749378</v>
      </c>
      <c r="E93">
        <v>0.88259866970474832</v>
      </c>
      <c r="F93">
        <v>-0.44625153350352775</v>
      </c>
      <c r="G93">
        <v>1.5446130419149995</v>
      </c>
      <c r="H93">
        <v>-1.468938535253983</v>
      </c>
      <c r="I93">
        <v>1.28036311050527</v>
      </c>
      <c r="J93">
        <v>-0.45641627366421744</v>
      </c>
      <c r="K93">
        <v>1.2742293620249256</v>
      </c>
    </row>
    <row r="94" spans="1:11" x14ac:dyDescent="0.3">
      <c r="A94" s="5" t="s">
        <v>202</v>
      </c>
      <c r="B94" s="5">
        <v>0.88859906099969521</v>
      </c>
      <c r="C94">
        <v>1.0224061952612828</v>
      </c>
      <c r="D94">
        <v>-1.7621042641403599</v>
      </c>
      <c r="E94">
        <v>0.72498778536100872</v>
      </c>
      <c r="F94">
        <v>0.91630226961569861</v>
      </c>
      <c r="G94">
        <v>4.7102730604819953E-2</v>
      </c>
      <c r="H94">
        <v>0.26028828870039433</v>
      </c>
      <c r="I94">
        <v>0.6240281891223276</v>
      </c>
      <c r="J94">
        <v>-3.1816307455301285</v>
      </c>
      <c r="K94">
        <v>0.46816239773761481</v>
      </c>
    </row>
    <row r="95" spans="1:11" x14ac:dyDescent="0.3">
      <c r="A95" s="5" t="s">
        <v>203</v>
      </c>
      <c r="B95" s="5">
        <v>-0.18927266864920966</v>
      </c>
      <c r="C95">
        <v>0.38157054405019153</v>
      </c>
      <c r="D95">
        <v>0.84231942309997976</v>
      </c>
      <c r="E95">
        <v>-0.96854137154878117</v>
      </c>
      <c r="F95">
        <v>-0.92389655037550256</v>
      </c>
      <c r="G95">
        <v>-1.9257186067989096</v>
      </c>
      <c r="H95">
        <v>-0.80568725024932064</v>
      </c>
      <c r="I95">
        <v>-0.43520799408724997</v>
      </c>
      <c r="J95">
        <v>-0.51696360969799571</v>
      </c>
      <c r="K95">
        <v>-0.82100848178379005</v>
      </c>
    </row>
    <row r="96" spans="1:11" x14ac:dyDescent="0.3">
      <c r="A96" s="5" t="s">
        <v>204</v>
      </c>
      <c r="B96" s="5">
        <v>-0.71913063948159106</v>
      </c>
      <c r="C96">
        <v>1.0473650036146864</v>
      </c>
      <c r="D96">
        <v>-1.9390055311087</v>
      </c>
      <c r="E96">
        <v>-0.76404830906540155</v>
      </c>
      <c r="F96">
        <v>0.53832877711101901</v>
      </c>
      <c r="G96">
        <v>0.53029907576274127</v>
      </c>
      <c r="H96">
        <v>-0.77123900155129377</v>
      </c>
      <c r="I96">
        <v>-1.9759681890718639</v>
      </c>
      <c r="J96">
        <v>0.86700993051636033</v>
      </c>
      <c r="K96">
        <v>1.0896042113017756</v>
      </c>
    </row>
    <row r="97" spans="1:11" x14ac:dyDescent="0.3">
      <c r="A97" s="5" t="s">
        <v>205</v>
      </c>
      <c r="B97" s="5">
        <v>0.69010638981126249</v>
      </c>
      <c r="C97">
        <v>-0.65917902247747406</v>
      </c>
      <c r="D97">
        <v>0.27829628379549831</v>
      </c>
      <c r="E97">
        <v>0.33102878660429269</v>
      </c>
      <c r="F97">
        <v>2.4443806978524663E-2</v>
      </c>
      <c r="G97">
        <v>0.65329572862538043</v>
      </c>
      <c r="H97">
        <v>1.12275074570789</v>
      </c>
      <c r="I97">
        <v>0.90449248091317713</v>
      </c>
      <c r="J97">
        <v>-0.39501628634752706</v>
      </c>
      <c r="K97">
        <v>-0.67225755628896877</v>
      </c>
    </row>
    <row r="98" spans="1:11" x14ac:dyDescent="0.3">
      <c r="A98" s="5" t="s">
        <v>206</v>
      </c>
      <c r="B98" s="5">
        <v>-0.99680846687988378</v>
      </c>
      <c r="C98">
        <v>1.9674189388751984</v>
      </c>
      <c r="D98">
        <v>3.546460902725812E-2</v>
      </c>
      <c r="E98">
        <v>-0.10553173726657</v>
      </c>
      <c r="F98">
        <v>0.18373463919852001</v>
      </c>
      <c r="G98">
        <v>1.4389979696716182</v>
      </c>
      <c r="H98">
        <v>1.0505482350708917</v>
      </c>
      <c r="I98">
        <v>-0.41586190491216257</v>
      </c>
      <c r="J98">
        <v>-0.76527840064954944</v>
      </c>
      <c r="K98">
        <v>-0.40761960917734541</v>
      </c>
    </row>
    <row r="99" spans="1:11" x14ac:dyDescent="0.3">
      <c r="A99" s="5" t="s">
        <v>207</v>
      </c>
      <c r="B99" s="5">
        <v>-1.233433977176901</v>
      </c>
      <c r="C99">
        <v>0.30655996852146927</v>
      </c>
      <c r="D99">
        <v>-2.0872357708867639</v>
      </c>
      <c r="E99">
        <v>0.20862330529780593</v>
      </c>
      <c r="F99">
        <v>-1.4673651094199158</v>
      </c>
      <c r="G99">
        <v>-0.11542397260200232</v>
      </c>
      <c r="H99">
        <v>0.53559006119030528</v>
      </c>
      <c r="I99">
        <v>-1.7748061509337276</v>
      </c>
      <c r="J99">
        <v>0.40745248952589463</v>
      </c>
      <c r="K99">
        <v>-0.91653646450140513</v>
      </c>
    </row>
    <row r="100" spans="1:11" x14ac:dyDescent="0.3">
      <c r="A100" s="5" t="s">
        <v>208</v>
      </c>
      <c r="B100" s="5">
        <v>-1.110338416765444</v>
      </c>
      <c r="C100">
        <v>2.8528302209451795</v>
      </c>
      <c r="D100">
        <v>0.81631696957629174</v>
      </c>
      <c r="E100">
        <v>-0.1909074853756465</v>
      </c>
      <c r="F100">
        <v>-1.33925823320169</v>
      </c>
      <c r="G100">
        <v>-0.93592007033294067</v>
      </c>
      <c r="H100">
        <v>-0.10503413250262383</v>
      </c>
      <c r="I100">
        <v>0.67149130700272508</v>
      </c>
      <c r="J100">
        <v>-1.9160324882250279</v>
      </c>
      <c r="K100">
        <v>-0.89429022409603931</v>
      </c>
    </row>
    <row r="101" spans="1:11" x14ac:dyDescent="0.3">
      <c r="A101" s="5" t="s">
        <v>209</v>
      </c>
      <c r="B101" s="5">
        <v>1.0768144420580938</v>
      </c>
      <c r="C101">
        <v>-0.73037199399550445</v>
      </c>
      <c r="D101">
        <v>-1.5680158210452599</v>
      </c>
      <c r="E101">
        <v>0.30423507269006222</v>
      </c>
      <c r="F101">
        <v>-0.64188043324975297</v>
      </c>
      <c r="G101">
        <v>0.68169969785957996</v>
      </c>
      <c r="H101">
        <v>0.34187678465968929</v>
      </c>
      <c r="I101">
        <v>1.2078135114279576</v>
      </c>
      <c r="J101">
        <v>0.79085339166340418</v>
      </c>
      <c r="K101">
        <v>0.12544205674203113</v>
      </c>
    </row>
    <row r="102" spans="1:11" x14ac:dyDescent="0.3">
      <c r="A102" s="5" t="s">
        <v>210</v>
      </c>
      <c r="B102" s="5">
        <v>1.6609000039999999</v>
      </c>
      <c r="C102">
        <v>-0.22880271899999999</v>
      </c>
      <c r="D102">
        <v>-1.8118356470000001</v>
      </c>
      <c r="E102">
        <v>1.4537983839999999</v>
      </c>
      <c r="F102">
        <v>-1.1155978879999999</v>
      </c>
      <c r="G102">
        <v>-0.93441155200000003</v>
      </c>
      <c r="H102">
        <v>0.96174752699999999</v>
      </c>
      <c r="I102">
        <v>0.12693101100000001</v>
      </c>
      <c r="J102">
        <v>-1.722187997</v>
      </c>
      <c r="K102">
        <v>0.32271381199999999</v>
      </c>
    </row>
    <row r="108" spans="1:11" x14ac:dyDescent="0.3">
      <c r="E10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2"/>
  <sheetViews>
    <sheetView topLeftCell="B1" workbookViewId="0">
      <selection activeCell="K23" sqref="K23"/>
    </sheetView>
  </sheetViews>
  <sheetFormatPr defaultRowHeight="14.4" x14ac:dyDescent="0.3"/>
  <cols>
    <col min="1" max="1" width="23.44140625" customWidth="1"/>
    <col min="2" max="2" width="17.6640625" customWidth="1"/>
    <col min="3" max="3" width="4.88671875" customWidth="1"/>
    <col min="4" max="4" width="3.109375" customWidth="1"/>
    <col min="5" max="5" width="8.5546875" customWidth="1"/>
    <col min="6" max="6" width="3.5546875" customWidth="1"/>
    <col min="7" max="7" width="3.109375" customWidth="1"/>
    <col min="8" max="8" width="13.88671875" customWidth="1"/>
    <col min="19" max="19" width="10" bestFit="1" customWidth="1"/>
    <col min="20" max="20" width="9.33203125" bestFit="1" customWidth="1"/>
  </cols>
  <sheetData>
    <row r="1" spans="1:15" x14ac:dyDescent="0.3">
      <c r="A1" s="3" t="s">
        <v>1</v>
      </c>
      <c r="B1" s="3" t="s">
        <v>219</v>
      </c>
      <c r="C1" s="3"/>
      <c r="D1" s="3"/>
      <c r="E1" s="3"/>
      <c r="F1" s="3"/>
      <c r="G1" s="3"/>
      <c r="H1" s="3"/>
      <c r="I1" t="s">
        <v>228</v>
      </c>
    </row>
    <row r="2" spans="1:15" x14ac:dyDescent="0.3">
      <c r="A2" s="1" t="s">
        <v>2</v>
      </c>
      <c r="B2" s="2">
        <v>14</v>
      </c>
      <c r="C2" s="4" t="s">
        <v>11</v>
      </c>
      <c r="D2" s="4" t="s">
        <v>5</v>
      </c>
      <c r="E2" s="4">
        <v>212</v>
      </c>
      <c r="F2" s="4" t="s">
        <v>218</v>
      </c>
      <c r="G2" s="4" t="s">
        <v>5</v>
      </c>
      <c r="H2" s="2">
        <f>$B$2 + $B$3*E2</f>
        <v>2346</v>
      </c>
      <c r="J2" t="s">
        <v>220</v>
      </c>
    </row>
    <row r="3" spans="1:15" x14ac:dyDescent="0.3">
      <c r="A3" s="1" t="s">
        <v>3</v>
      </c>
      <c r="B3" s="2">
        <v>11</v>
      </c>
      <c r="C3" s="4" t="s">
        <v>12</v>
      </c>
      <c r="D3" s="4" t="s">
        <v>5</v>
      </c>
      <c r="E3" s="4">
        <v>780</v>
      </c>
      <c r="F3" s="4" t="s">
        <v>230</v>
      </c>
      <c r="G3" s="4" t="s">
        <v>5</v>
      </c>
      <c r="H3" s="2">
        <f t="shared" ref="H3:H66" si="0">$B$2 + $B$3*E3</f>
        <v>8594</v>
      </c>
      <c r="J3" t="s">
        <v>221</v>
      </c>
    </row>
    <row r="4" spans="1:15" x14ac:dyDescent="0.3">
      <c r="A4" s="1" t="s">
        <v>4</v>
      </c>
      <c r="B4" s="2">
        <v>9</v>
      </c>
      <c r="C4" s="4" t="s">
        <v>13</v>
      </c>
      <c r="D4" s="4" t="s">
        <v>5</v>
      </c>
      <c r="E4" s="4">
        <v>280</v>
      </c>
      <c r="F4" s="4" t="s">
        <v>231</v>
      </c>
      <c r="G4" s="4" t="s">
        <v>5</v>
      </c>
      <c r="H4" s="2">
        <f t="shared" si="0"/>
        <v>3094</v>
      </c>
      <c r="J4" t="s">
        <v>222</v>
      </c>
    </row>
    <row r="5" spans="1:15" x14ac:dyDescent="0.3">
      <c r="C5" s="4" t="s">
        <v>14</v>
      </c>
      <c r="D5" s="4" t="s">
        <v>5</v>
      </c>
      <c r="E5" s="4">
        <v>888</v>
      </c>
      <c r="F5" s="4" t="s">
        <v>232</v>
      </c>
      <c r="G5" s="4" t="s">
        <v>5</v>
      </c>
      <c r="H5" s="2">
        <f t="shared" si="0"/>
        <v>9782</v>
      </c>
      <c r="J5" t="s">
        <v>223</v>
      </c>
    </row>
    <row r="6" spans="1:15" x14ac:dyDescent="0.3">
      <c r="C6" s="4" t="s">
        <v>15</v>
      </c>
      <c r="D6" s="4" t="s">
        <v>5</v>
      </c>
      <c r="E6" s="4">
        <v>314</v>
      </c>
      <c r="F6" s="4" t="s">
        <v>233</v>
      </c>
      <c r="G6" s="4" t="s">
        <v>5</v>
      </c>
      <c r="H6" s="2">
        <f t="shared" si="0"/>
        <v>3468</v>
      </c>
      <c r="J6" t="s">
        <v>224</v>
      </c>
    </row>
    <row r="7" spans="1:15" x14ac:dyDescent="0.3">
      <c r="C7" s="4" t="s">
        <v>16</v>
      </c>
      <c r="D7" s="4" t="s">
        <v>5</v>
      </c>
      <c r="E7" s="4">
        <v>780</v>
      </c>
      <c r="F7" s="4" t="s">
        <v>234</v>
      </c>
      <c r="G7" s="4" t="s">
        <v>5</v>
      </c>
      <c r="H7" s="2">
        <f t="shared" si="0"/>
        <v>8594</v>
      </c>
    </row>
    <row r="8" spans="1:15" x14ac:dyDescent="0.3">
      <c r="C8" s="4" t="s">
        <v>17</v>
      </c>
      <c r="D8" s="4" t="s">
        <v>5</v>
      </c>
      <c r="E8" s="4">
        <v>993</v>
      </c>
      <c r="F8" s="4" t="s">
        <v>235</v>
      </c>
      <c r="G8" s="4" t="s">
        <v>5</v>
      </c>
      <c r="H8" s="2">
        <f t="shared" si="0"/>
        <v>10937</v>
      </c>
      <c r="I8" t="s">
        <v>225</v>
      </c>
    </row>
    <row r="9" spans="1:15" x14ac:dyDescent="0.3">
      <c r="C9" s="4" t="s">
        <v>18</v>
      </c>
      <c r="D9" s="4" t="s">
        <v>5</v>
      </c>
      <c r="E9" s="4">
        <v>326</v>
      </c>
      <c r="F9" s="4" t="s">
        <v>236</v>
      </c>
      <c r="G9" s="4" t="s">
        <v>5</v>
      </c>
      <c r="H9" s="2">
        <f t="shared" si="0"/>
        <v>3600</v>
      </c>
      <c r="I9" t="s">
        <v>229</v>
      </c>
    </row>
    <row r="10" spans="1:15" x14ac:dyDescent="0.3">
      <c r="C10" s="4" t="s">
        <v>19</v>
      </c>
      <c r="D10" s="4" t="s">
        <v>5</v>
      </c>
      <c r="E10" s="4">
        <v>906</v>
      </c>
      <c r="F10" s="4" t="s">
        <v>237</v>
      </c>
      <c r="G10" s="4" t="s">
        <v>5</v>
      </c>
      <c r="H10" s="2">
        <f t="shared" si="0"/>
        <v>9980</v>
      </c>
      <c r="I10" t="s">
        <v>227</v>
      </c>
    </row>
    <row r="11" spans="1:15" x14ac:dyDescent="0.3">
      <c r="C11" s="4" t="s">
        <v>20</v>
      </c>
      <c r="D11" s="4" t="s">
        <v>5</v>
      </c>
      <c r="E11" s="4">
        <v>790</v>
      </c>
      <c r="F11" s="4" t="s">
        <v>238</v>
      </c>
      <c r="G11" s="4" t="s">
        <v>5</v>
      </c>
      <c r="H11" s="2">
        <f t="shared" si="0"/>
        <v>8704</v>
      </c>
    </row>
    <row r="12" spans="1:15" x14ac:dyDescent="0.3">
      <c r="C12" s="4" t="s">
        <v>21</v>
      </c>
      <c r="D12" s="4" t="s">
        <v>5</v>
      </c>
      <c r="E12" s="4">
        <v>127</v>
      </c>
      <c r="F12" s="4" t="s">
        <v>239</v>
      </c>
      <c r="G12" s="4" t="s">
        <v>5</v>
      </c>
      <c r="H12" s="2">
        <f t="shared" si="0"/>
        <v>1411</v>
      </c>
    </row>
    <row r="13" spans="1:15" x14ac:dyDescent="0.3">
      <c r="C13" s="4" t="s">
        <v>22</v>
      </c>
      <c r="D13" s="4" t="s">
        <v>5</v>
      </c>
      <c r="E13" s="4">
        <v>685</v>
      </c>
      <c r="F13" s="4" t="s">
        <v>240</v>
      </c>
      <c r="G13" s="4" t="s">
        <v>5</v>
      </c>
      <c r="H13" s="2">
        <f t="shared" si="0"/>
        <v>7549</v>
      </c>
    </row>
    <row r="14" spans="1:15" x14ac:dyDescent="0.3">
      <c r="C14" s="4" t="s">
        <v>23</v>
      </c>
      <c r="D14" s="4" t="s">
        <v>5</v>
      </c>
      <c r="E14" s="4">
        <v>320</v>
      </c>
      <c r="F14" s="4" t="s">
        <v>241</v>
      </c>
      <c r="G14" s="4" t="s">
        <v>5</v>
      </c>
      <c r="H14" s="2">
        <f t="shared" si="0"/>
        <v>3534</v>
      </c>
      <c r="I14" s="7" t="s">
        <v>6</v>
      </c>
      <c r="J14" s="7"/>
      <c r="K14" s="7"/>
      <c r="L14" s="7"/>
      <c r="M14" s="7"/>
      <c r="N14" s="7"/>
      <c r="O14" s="7"/>
    </row>
    <row r="15" spans="1:15" x14ac:dyDescent="0.3">
      <c r="C15" s="4" t="s">
        <v>24</v>
      </c>
      <c r="D15" s="4" t="s">
        <v>5</v>
      </c>
      <c r="E15" s="4">
        <v>658</v>
      </c>
      <c r="F15" s="4" t="s">
        <v>242</v>
      </c>
      <c r="G15" s="4" t="s">
        <v>5</v>
      </c>
      <c r="H15" s="2">
        <f t="shared" si="0"/>
        <v>7252</v>
      </c>
      <c r="I15" s="7" t="s">
        <v>226</v>
      </c>
      <c r="J15" s="7"/>
      <c r="K15" s="7"/>
      <c r="L15" s="7"/>
      <c r="M15" s="7"/>
      <c r="N15" s="7"/>
      <c r="O15" s="7"/>
    </row>
    <row r="16" spans="1:15" x14ac:dyDescent="0.3">
      <c r="C16" s="4" t="s">
        <v>25</v>
      </c>
      <c r="D16" s="4" t="s">
        <v>5</v>
      </c>
      <c r="E16" s="4">
        <v>436</v>
      </c>
      <c r="F16" s="4" t="s">
        <v>243</v>
      </c>
      <c r="G16" s="4" t="s">
        <v>5</v>
      </c>
      <c r="H16" s="2">
        <f t="shared" si="0"/>
        <v>4810</v>
      </c>
      <c r="I16" s="7" t="s">
        <v>7</v>
      </c>
      <c r="J16" s="7"/>
      <c r="K16" s="7"/>
      <c r="L16" s="7"/>
      <c r="M16" s="7"/>
      <c r="N16" s="7"/>
      <c r="O16" s="7"/>
    </row>
    <row r="17" spans="3:10" x14ac:dyDescent="0.3">
      <c r="C17" s="4" t="s">
        <v>26</v>
      </c>
      <c r="D17" s="4" t="s">
        <v>5</v>
      </c>
      <c r="E17" s="4">
        <v>686</v>
      </c>
      <c r="F17" s="4" t="s">
        <v>244</v>
      </c>
      <c r="G17" s="4" t="s">
        <v>5</v>
      </c>
      <c r="H17" s="2">
        <f t="shared" si="0"/>
        <v>7560</v>
      </c>
    </row>
    <row r="18" spans="3:10" x14ac:dyDescent="0.3">
      <c r="C18" s="4" t="s">
        <v>27</v>
      </c>
      <c r="D18" s="4" t="s">
        <v>5</v>
      </c>
      <c r="E18" s="4">
        <v>797</v>
      </c>
      <c r="F18" s="4" t="s">
        <v>245</v>
      </c>
      <c r="G18" s="4" t="s">
        <v>5</v>
      </c>
      <c r="H18" s="2">
        <f t="shared" si="0"/>
        <v>8781</v>
      </c>
    </row>
    <row r="19" spans="3:10" x14ac:dyDescent="0.3">
      <c r="C19" s="4" t="s">
        <v>28</v>
      </c>
      <c r="D19" s="4" t="s">
        <v>5</v>
      </c>
      <c r="E19" s="4">
        <v>464</v>
      </c>
      <c r="F19" s="4" t="s">
        <v>246</v>
      </c>
      <c r="G19" s="4" t="s">
        <v>5</v>
      </c>
      <c r="H19" s="2">
        <f t="shared" si="0"/>
        <v>5118</v>
      </c>
      <c r="I19" cm="1">
        <f t="array" ref="I19:J23">LINEST(H2:H101,E2:E101,1,1)</f>
        <v>11</v>
      </c>
      <c r="J19">
        <v>14</v>
      </c>
    </row>
    <row r="20" spans="3:10" x14ac:dyDescent="0.3">
      <c r="C20" s="4" t="s">
        <v>29</v>
      </c>
      <c r="D20" s="4" t="s">
        <v>5</v>
      </c>
      <c r="E20" s="4">
        <v>514</v>
      </c>
      <c r="F20" s="4" t="s">
        <v>247</v>
      </c>
      <c r="G20" s="4" t="s">
        <v>5</v>
      </c>
      <c r="H20" s="2">
        <f t="shared" si="0"/>
        <v>5668</v>
      </c>
      <c r="I20">
        <v>5.6156875856383139E-16</v>
      </c>
      <c r="J20">
        <v>3.363626373201746E-13</v>
      </c>
    </row>
    <row r="21" spans="3:10" x14ac:dyDescent="0.3">
      <c r="C21" s="4" t="s">
        <v>30</v>
      </c>
      <c r="D21" s="4" t="s">
        <v>5</v>
      </c>
      <c r="E21" s="4">
        <v>724</v>
      </c>
      <c r="F21" s="4" t="s">
        <v>248</v>
      </c>
      <c r="G21" s="4" t="s">
        <v>5</v>
      </c>
      <c r="H21" s="2">
        <f t="shared" si="0"/>
        <v>7978</v>
      </c>
      <c r="I21">
        <v>1</v>
      </c>
      <c r="J21">
        <v>1.545385696938562E-12</v>
      </c>
    </row>
    <row r="22" spans="3:10" x14ac:dyDescent="0.3">
      <c r="C22" s="4" t="s">
        <v>31</v>
      </c>
      <c r="D22" s="4" t="s">
        <v>5</v>
      </c>
      <c r="E22" s="4">
        <v>63</v>
      </c>
      <c r="F22" s="4" t="s">
        <v>249</v>
      </c>
      <c r="G22" s="4" t="s">
        <v>5</v>
      </c>
      <c r="H22" s="2">
        <f t="shared" si="0"/>
        <v>707</v>
      </c>
      <c r="I22">
        <v>3.8368912711495422E+32</v>
      </c>
      <c r="J22">
        <v>98</v>
      </c>
    </row>
    <row r="23" spans="3:10" x14ac:dyDescent="0.3">
      <c r="C23" s="4" t="s">
        <v>32</v>
      </c>
      <c r="D23" s="4" t="s">
        <v>5</v>
      </c>
      <c r="E23" s="4">
        <v>298</v>
      </c>
      <c r="F23" s="4" t="s">
        <v>250</v>
      </c>
      <c r="G23" s="4" t="s">
        <v>5</v>
      </c>
      <c r="H23" s="2">
        <f t="shared" si="0"/>
        <v>3292</v>
      </c>
      <c r="I23">
        <v>916332877.79000008</v>
      </c>
      <c r="J23">
        <v>2.3404526132562395E-22</v>
      </c>
    </row>
    <row r="24" spans="3:10" x14ac:dyDescent="0.3">
      <c r="C24" s="4" t="s">
        <v>33</v>
      </c>
      <c r="D24" s="4" t="s">
        <v>5</v>
      </c>
      <c r="E24" s="4">
        <v>689</v>
      </c>
      <c r="F24" s="4" t="s">
        <v>251</v>
      </c>
      <c r="G24" s="4" t="s">
        <v>5</v>
      </c>
      <c r="H24" s="2">
        <f t="shared" si="0"/>
        <v>7593</v>
      </c>
    </row>
    <row r="25" spans="3:10" x14ac:dyDescent="0.3">
      <c r="C25" s="4" t="s">
        <v>34</v>
      </c>
      <c r="D25" s="4" t="s">
        <v>5</v>
      </c>
      <c r="E25" s="4">
        <v>278</v>
      </c>
      <c r="F25" s="4" t="s">
        <v>252</v>
      </c>
      <c r="G25" s="4" t="s">
        <v>5</v>
      </c>
      <c r="H25" s="2">
        <f t="shared" si="0"/>
        <v>3072</v>
      </c>
    </row>
    <row r="26" spans="3:10" x14ac:dyDescent="0.3">
      <c r="C26" s="4" t="s">
        <v>35</v>
      </c>
      <c r="D26" s="4" t="s">
        <v>5</v>
      </c>
      <c r="E26" s="4">
        <v>701</v>
      </c>
      <c r="F26" s="4" t="s">
        <v>253</v>
      </c>
      <c r="G26" s="4" t="s">
        <v>5</v>
      </c>
      <c r="H26" s="2">
        <f t="shared" si="0"/>
        <v>7725</v>
      </c>
    </row>
    <row r="27" spans="3:10" x14ac:dyDescent="0.3">
      <c r="C27" s="4" t="s">
        <v>36</v>
      </c>
      <c r="D27" s="4" t="s">
        <v>5</v>
      </c>
      <c r="E27" s="4">
        <v>219</v>
      </c>
      <c r="F27" s="4" t="s">
        <v>254</v>
      </c>
      <c r="G27" s="4" t="s">
        <v>5</v>
      </c>
      <c r="H27" s="2">
        <f t="shared" si="0"/>
        <v>2423</v>
      </c>
    </row>
    <row r="28" spans="3:10" x14ac:dyDescent="0.3">
      <c r="C28" s="4" t="s">
        <v>37</v>
      </c>
      <c r="D28" s="4" t="s">
        <v>5</v>
      </c>
      <c r="E28" s="4">
        <v>666</v>
      </c>
      <c r="F28" s="4" t="s">
        <v>255</v>
      </c>
      <c r="G28" s="4" t="s">
        <v>5</v>
      </c>
      <c r="H28" s="2">
        <f t="shared" si="0"/>
        <v>7340</v>
      </c>
    </row>
    <row r="29" spans="3:10" x14ac:dyDescent="0.3">
      <c r="C29" s="4" t="s">
        <v>38</v>
      </c>
      <c r="D29" s="4" t="s">
        <v>5</v>
      </c>
      <c r="E29" s="4">
        <v>92</v>
      </c>
      <c r="F29" s="4" t="s">
        <v>256</v>
      </c>
      <c r="G29" s="4" t="s">
        <v>5</v>
      </c>
      <c r="H29" s="2">
        <f t="shared" si="0"/>
        <v>1026</v>
      </c>
    </row>
    <row r="30" spans="3:10" x14ac:dyDescent="0.3">
      <c r="C30" s="4" t="s">
        <v>39</v>
      </c>
      <c r="D30" s="4" t="s">
        <v>5</v>
      </c>
      <c r="E30" s="4">
        <v>250</v>
      </c>
      <c r="F30" s="4" t="s">
        <v>257</v>
      </c>
      <c r="G30" s="4" t="s">
        <v>5</v>
      </c>
      <c r="H30" s="2">
        <f t="shared" si="0"/>
        <v>2764</v>
      </c>
    </row>
    <row r="31" spans="3:10" x14ac:dyDescent="0.3">
      <c r="C31" s="4" t="s">
        <v>40</v>
      </c>
      <c r="D31" s="4" t="s">
        <v>5</v>
      </c>
      <c r="E31" s="4">
        <v>252</v>
      </c>
      <c r="F31" s="4" t="s">
        <v>258</v>
      </c>
      <c r="G31" s="4" t="s">
        <v>5</v>
      </c>
      <c r="H31" s="2">
        <f t="shared" si="0"/>
        <v>2786</v>
      </c>
    </row>
    <row r="32" spans="3:10" x14ac:dyDescent="0.3">
      <c r="C32" s="4" t="s">
        <v>41</v>
      </c>
      <c r="D32" s="4" t="s">
        <v>5</v>
      </c>
      <c r="E32" s="4">
        <v>110</v>
      </c>
      <c r="F32" s="4" t="s">
        <v>259</v>
      </c>
      <c r="G32" s="4" t="s">
        <v>5</v>
      </c>
      <c r="H32" s="2">
        <f t="shared" si="0"/>
        <v>1224</v>
      </c>
    </row>
    <row r="33" spans="3:8" x14ac:dyDescent="0.3">
      <c r="C33" s="4" t="s">
        <v>42</v>
      </c>
      <c r="D33" s="4" t="s">
        <v>5</v>
      </c>
      <c r="E33" s="4">
        <v>185</v>
      </c>
      <c r="F33" s="4" t="s">
        <v>260</v>
      </c>
      <c r="G33" s="4" t="s">
        <v>5</v>
      </c>
      <c r="H33" s="2">
        <f t="shared" si="0"/>
        <v>2049</v>
      </c>
    </row>
    <row r="34" spans="3:8" x14ac:dyDescent="0.3">
      <c r="C34" s="4" t="s">
        <v>43</v>
      </c>
      <c r="D34" s="4" t="s">
        <v>5</v>
      </c>
      <c r="E34" s="4">
        <v>281</v>
      </c>
      <c r="F34" s="4" t="s">
        <v>261</v>
      </c>
      <c r="G34" s="4" t="s">
        <v>5</v>
      </c>
      <c r="H34" s="2">
        <f t="shared" si="0"/>
        <v>3105</v>
      </c>
    </row>
    <row r="35" spans="3:8" x14ac:dyDescent="0.3">
      <c r="C35" s="4" t="s">
        <v>44</v>
      </c>
      <c r="D35" s="4" t="s">
        <v>5</v>
      </c>
      <c r="E35" s="4">
        <v>315</v>
      </c>
      <c r="F35" s="4" t="s">
        <v>262</v>
      </c>
      <c r="G35" s="4" t="s">
        <v>5</v>
      </c>
      <c r="H35" s="2">
        <f t="shared" si="0"/>
        <v>3479</v>
      </c>
    </row>
    <row r="36" spans="3:8" x14ac:dyDescent="0.3">
      <c r="C36" s="4" t="s">
        <v>45</v>
      </c>
      <c r="D36" s="4" t="s">
        <v>5</v>
      </c>
      <c r="E36" s="4">
        <v>883</v>
      </c>
      <c r="F36" s="4" t="s">
        <v>263</v>
      </c>
      <c r="G36" s="4" t="s">
        <v>5</v>
      </c>
      <c r="H36" s="2">
        <f t="shared" si="0"/>
        <v>9727</v>
      </c>
    </row>
    <row r="37" spans="3:8" x14ac:dyDescent="0.3">
      <c r="C37" s="4" t="s">
        <v>46</v>
      </c>
      <c r="D37" s="4" t="s">
        <v>5</v>
      </c>
      <c r="E37" s="4">
        <v>75</v>
      </c>
      <c r="F37" s="4" t="s">
        <v>264</v>
      </c>
      <c r="G37" s="4" t="s">
        <v>5</v>
      </c>
      <c r="H37" s="2">
        <f t="shared" si="0"/>
        <v>839</v>
      </c>
    </row>
    <row r="38" spans="3:8" x14ac:dyDescent="0.3">
      <c r="C38" s="4" t="s">
        <v>47</v>
      </c>
      <c r="D38" s="4" t="s">
        <v>5</v>
      </c>
      <c r="E38" s="4">
        <v>763</v>
      </c>
      <c r="F38" s="4" t="s">
        <v>265</v>
      </c>
      <c r="G38" s="4" t="s">
        <v>5</v>
      </c>
      <c r="H38" s="2">
        <f t="shared" si="0"/>
        <v>8407</v>
      </c>
    </row>
    <row r="39" spans="3:8" x14ac:dyDescent="0.3">
      <c r="C39" s="4" t="s">
        <v>48</v>
      </c>
      <c r="D39" s="4" t="s">
        <v>5</v>
      </c>
      <c r="E39" s="4">
        <v>438</v>
      </c>
      <c r="F39" s="4" t="s">
        <v>266</v>
      </c>
      <c r="G39" s="4" t="s">
        <v>5</v>
      </c>
      <c r="H39" s="2">
        <f t="shared" si="0"/>
        <v>4832</v>
      </c>
    </row>
    <row r="40" spans="3:8" x14ac:dyDescent="0.3">
      <c r="C40" s="4" t="s">
        <v>49</v>
      </c>
      <c r="D40" s="4" t="s">
        <v>5</v>
      </c>
      <c r="E40" s="4">
        <v>752</v>
      </c>
      <c r="F40" s="4" t="s">
        <v>267</v>
      </c>
      <c r="G40" s="4" t="s">
        <v>5</v>
      </c>
      <c r="H40" s="2">
        <f t="shared" si="0"/>
        <v>8286</v>
      </c>
    </row>
    <row r="41" spans="3:8" x14ac:dyDescent="0.3">
      <c r="C41" s="4" t="s">
        <v>50</v>
      </c>
      <c r="D41" s="4" t="s">
        <v>5</v>
      </c>
      <c r="E41" s="4">
        <v>607</v>
      </c>
      <c r="F41" s="4" t="s">
        <v>268</v>
      </c>
      <c r="G41" s="4" t="s">
        <v>5</v>
      </c>
      <c r="H41" s="2">
        <f t="shared" si="0"/>
        <v>6691</v>
      </c>
    </row>
    <row r="42" spans="3:8" x14ac:dyDescent="0.3">
      <c r="C42" s="4" t="s">
        <v>51</v>
      </c>
      <c r="D42" s="4" t="s">
        <v>5</v>
      </c>
      <c r="E42" s="4">
        <v>733</v>
      </c>
      <c r="F42" s="4" t="s">
        <v>269</v>
      </c>
      <c r="G42" s="4" t="s">
        <v>5</v>
      </c>
      <c r="H42" s="2">
        <f t="shared" si="0"/>
        <v>8077</v>
      </c>
    </row>
    <row r="43" spans="3:8" x14ac:dyDescent="0.3">
      <c r="C43" s="4" t="s">
        <v>52</v>
      </c>
      <c r="D43" s="4" t="s">
        <v>5</v>
      </c>
      <c r="E43" s="4">
        <v>526</v>
      </c>
      <c r="F43" s="4" t="s">
        <v>270</v>
      </c>
      <c r="G43" s="4" t="s">
        <v>5</v>
      </c>
      <c r="H43" s="2">
        <f t="shared" si="0"/>
        <v>5800</v>
      </c>
    </row>
    <row r="44" spans="3:8" x14ac:dyDescent="0.3">
      <c r="C44" s="4" t="s">
        <v>53</v>
      </c>
      <c r="D44" s="4" t="s">
        <v>5</v>
      </c>
      <c r="E44" s="4">
        <v>270</v>
      </c>
      <c r="F44" s="4" t="s">
        <v>271</v>
      </c>
      <c r="G44" s="4" t="s">
        <v>5</v>
      </c>
      <c r="H44" s="2">
        <f t="shared" si="0"/>
        <v>2984</v>
      </c>
    </row>
    <row r="45" spans="3:8" x14ac:dyDescent="0.3">
      <c r="C45" s="4" t="s">
        <v>54</v>
      </c>
      <c r="D45" s="4" t="s">
        <v>5</v>
      </c>
      <c r="E45" s="4">
        <v>728</v>
      </c>
      <c r="F45" s="4" t="s">
        <v>272</v>
      </c>
      <c r="G45" s="4" t="s">
        <v>5</v>
      </c>
      <c r="H45" s="2">
        <f t="shared" si="0"/>
        <v>8022</v>
      </c>
    </row>
    <row r="46" spans="3:8" x14ac:dyDescent="0.3">
      <c r="C46" s="4" t="s">
        <v>55</v>
      </c>
      <c r="D46" s="4" t="s">
        <v>5</v>
      </c>
      <c r="E46" s="4">
        <v>643</v>
      </c>
      <c r="F46" s="4" t="s">
        <v>273</v>
      </c>
      <c r="G46" s="4" t="s">
        <v>5</v>
      </c>
      <c r="H46" s="2">
        <f t="shared" si="0"/>
        <v>7087</v>
      </c>
    </row>
    <row r="47" spans="3:8" x14ac:dyDescent="0.3">
      <c r="C47" s="4" t="s">
        <v>56</v>
      </c>
      <c r="D47" s="4" t="s">
        <v>5</v>
      </c>
      <c r="E47" s="4">
        <v>847</v>
      </c>
      <c r="F47" s="4" t="s">
        <v>274</v>
      </c>
      <c r="G47" s="4" t="s">
        <v>5</v>
      </c>
      <c r="H47" s="2">
        <f t="shared" si="0"/>
        <v>9331</v>
      </c>
    </row>
    <row r="48" spans="3:8" x14ac:dyDescent="0.3">
      <c r="C48" s="4" t="s">
        <v>57</v>
      </c>
      <c r="D48" s="4" t="s">
        <v>5</v>
      </c>
      <c r="E48" s="4">
        <v>980</v>
      </c>
      <c r="F48" s="4" t="s">
        <v>275</v>
      </c>
      <c r="G48" s="4" t="s">
        <v>5</v>
      </c>
      <c r="H48" s="2">
        <f t="shared" si="0"/>
        <v>10794</v>
      </c>
    </row>
    <row r="49" spans="3:8" x14ac:dyDescent="0.3">
      <c r="C49" s="4" t="s">
        <v>58</v>
      </c>
      <c r="D49" s="4" t="s">
        <v>5</v>
      </c>
      <c r="E49" s="4">
        <v>337</v>
      </c>
      <c r="F49" s="4" t="s">
        <v>276</v>
      </c>
      <c r="G49" s="4" t="s">
        <v>5</v>
      </c>
      <c r="H49" s="2">
        <f t="shared" si="0"/>
        <v>3721</v>
      </c>
    </row>
    <row r="50" spans="3:8" x14ac:dyDescent="0.3">
      <c r="C50" s="4" t="s">
        <v>59</v>
      </c>
      <c r="D50" s="4" t="s">
        <v>5</v>
      </c>
      <c r="E50" s="4">
        <v>972</v>
      </c>
      <c r="F50" s="4" t="s">
        <v>277</v>
      </c>
      <c r="G50" s="4" t="s">
        <v>5</v>
      </c>
      <c r="H50" s="2">
        <f t="shared" si="0"/>
        <v>10706</v>
      </c>
    </row>
    <row r="51" spans="3:8" x14ac:dyDescent="0.3">
      <c r="C51" s="4" t="s">
        <v>60</v>
      </c>
      <c r="D51" s="4" t="s">
        <v>5</v>
      </c>
      <c r="E51" s="4">
        <v>174</v>
      </c>
      <c r="F51" s="4" t="s">
        <v>278</v>
      </c>
      <c r="G51" s="4" t="s">
        <v>5</v>
      </c>
      <c r="H51" s="2">
        <f t="shared" si="0"/>
        <v>1928</v>
      </c>
    </row>
    <row r="52" spans="3:8" x14ac:dyDescent="0.3">
      <c r="C52" s="4" t="s">
        <v>61</v>
      </c>
      <c r="D52" s="4" t="s">
        <v>5</v>
      </c>
      <c r="E52" s="4">
        <v>227</v>
      </c>
      <c r="F52" s="4" t="s">
        <v>279</v>
      </c>
      <c r="G52" s="4" t="s">
        <v>5</v>
      </c>
      <c r="H52" s="2">
        <f t="shared" si="0"/>
        <v>2511</v>
      </c>
    </row>
    <row r="53" spans="3:8" x14ac:dyDescent="0.3">
      <c r="C53" s="4" t="s">
        <v>62</v>
      </c>
      <c r="D53" s="4" t="s">
        <v>5</v>
      </c>
      <c r="E53" s="4">
        <v>271</v>
      </c>
      <c r="F53" s="4" t="s">
        <v>280</v>
      </c>
      <c r="G53" s="4" t="s">
        <v>5</v>
      </c>
      <c r="H53" s="2">
        <f t="shared" si="0"/>
        <v>2995</v>
      </c>
    </row>
    <row r="54" spans="3:8" x14ac:dyDescent="0.3">
      <c r="C54" s="4" t="s">
        <v>63</v>
      </c>
      <c r="D54" s="4" t="s">
        <v>5</v>
      </c>
      <c r="E54" s="4">
        <v>323</v>
      </c>
      <c r="F54" s="4" t="s">
        <v>281</v>
      </c>
      <c r="G54" s="4" t="s">
        <v>5</v>
      </c>
      <c r="H54" s="2">
        <f t="shared" si="0"/>
        <v>3567</v>
      </c>
    </row>
    <row r="55" spans="3:8" x14ac:dyDescent="0.3">
      <c r="C55" s="4" t="s">
        <v>64</v>
      </c>
      <c r="D55" s="4" t="s">
        <v>5</v>
      </c>
      <c r="E55" s="4">
        <v>383</v>
      </c>
      <c r="F55" s="4" t="s">
        <v>282</v>
      </c>
      <c r="G55" s="4" t="s">
        <v>5</v>
      </c>
      <c r="H55" s="2">
        <f t="shared" si="0"/>
        <v>4227</v>
      </c>
    </row>
    <row r="56" spans="3:8" x14ac:dyDescent="0.3">
      <c r="C56" s="4" t="s">
        <v>65</v>
      </c>
      <c r="D56" s="4" t="s">
        <v>5</v>
      </c>
      <c r="E56" s="4">
        <v>294</v>
      </c>
      <c r="F56" s="4" t="s">
        <v>283</v>
      </c>
      <c r="G56" s="4" t="s">
        <v>5</v>
      </c>
      <c r="H56" s="2">
        <f t="shared" si="0"/>
        <v>3248</v>
      </c>
    </row>
    <row r="57" spans="3:8" x14ac:dyDescent="0.3">
      <c r="C57" s="4" t="s">
        <v>66</v>
      </c>
      <c r="D57" s="4" t="s">
        <v>5</v>
      </c>
      <c r="E57" s="4">
        <v>331</v>
      </c>
      <c r="F57" s="4" t="s">
        <v>284</v>
      </c>
      <c r="G57" s="4" t="s">
        <v>5</v>
      </c>
      <c r="H57" s="2">
        <f t="shared" si="0"/>
        <v>3655</v>
      </c>
    </row>
    <row r="58" spans="3:8" x14ac:dyDescent="0.3">
      <c r="C58" s="4" t="s">
        <v>67</v>
      </c>
      <c r="D58" s="4" t="s">
        <v>5</v>
      </c>
      <c r="E58" s="4">
        <v>908</v>
      </c>
      <c r="F58" s="4" t="s">
        <v>285</v>
      </c>
      <c r="G58" s="4" t="s">
        <v>5</v>
      </c>
      <c r="H58" s="2">
        <f t="shared" si="0"/>
        <v>10002</v>
      </c>
    </row>
    <row r="59" spans="3:8" x14ac:dyDescent="0.3">
      <c r="C59" s="4" t="s">
        <v>68</v>
      </c>
      <c r="D59" s="4" t="s">
        <v>5</v>
      </c>
      <c r="E59" s="4">
        <v>152</v>
      </c>
      <c r="F59" s="4" t="s">
        <v>286</v>
      </c>
      <c r="G59" s="4" t="s">
        <v>5</v>
      </c>
      <c r="H59" s="2">
        <f t="shared" si="0"/>
        <v>1686</v>
      </c>
    </row>
    <row r="60" spans="3:8" x14ac:dyDescent="0.3">
      <c r="C60" s="4" t="s">
        <v>69</v>
      </c>
      <c r="D60" s="4" t="s">
        <v>5</v>
      </c>
      <c r="E60" s="4">
        <v>593</v>
      </c>
      <c r="F60" s="4" t="s">
        <v>287</v>
      </c>
      <c r="G60" s="4" t="s">
        <v>5</v>
      </c>
      <c r="H60" s="2">
        <f t="shared" si="0"/>
        <v>6537</v>
      </c>
    </row>
    <row r="61" spans="3:8" x14ac:dyDescent="0.3">
      <c r="C61" s="4" t="s">
        <v>70</v>
      </c>
      <c r="D61" s="4" t="s">
        <v>5</v>
      </c>
      <c r="E61" s="4">
        <v>392</v>
      </c>
      <c r="F61" s="4" t="s">
        <v>288</v>
      </c>
      <c r="G61" s="4" t="s">
        <v>5</v>
      </c>
      <c r="H61" s="2">
        <f t="shared" si="0"/>
        <v>4326</v>
      </c>
    </row>
    <row r="62" spans="3:8" x14ac:dyDescent="0.3">
      <c r="C62" s="4" t="s">
        <v>71</v>
      </c>
      <c r="D62" s="4" t="s">
        <v>5</v>
      </c>
      <c r="E62" s="4">
        <v>407</v>
      </c>
      <c r="F62" s="4" t="s">
        <v>289</v>
      </c>
      <c r="G62" s="4" t="s">
        <v>5</v>
      </c>
      <c r="H62" s="2">
        <f t="shared" si="0"/>
        <v>4491</v>
      </c>
    </row>
    <row r="63" spans="3:8" x14ac:dyDescent="0.3">
      <c r="C63" s="4" t="s">
        <v>72</v>
      </c>
      <c r="D63" s="4" t="s">
        <v>5</v>
      </c>
      <c r="E63" s="4">
        <v>211</v>
      </c>
      <c r="F63" s="4" t="s">
        <v>290</v>
      </c>
      <c r="G63" s="4" t="s">
        <v>5</v>
      </c>
      <c r="H63" s="2">
        <f t="shared" si="0"/>
        <v>2335</v>
      </c>
    </row>
    <row r="64" spans="3:8" x14ac:dyDescent="0.3">
      <c r="C64" s="4" t="s">
        <v>73</v>
      </c>
      <c r="D64" s="4" t="s">
        <v>5</v>
      </c>
      <c r="E64" s="4">
        <v>942</v>
      </c>
      <c r="F64" s="4" t="s">
        <v>291</v>
      </c>
      <c r="G64" s="4" t="s">
        <v>5</v>
      </c>
      <c r="H64" s="2">
        <f t="shared" si="0"/>
        <v>10376</v>
      </c>
    </row>
    <row r="65" spans="3:8" x14ac:dyDescent="0.3">
      <c r="C65" s="4" t="s">
        <v>74</v>
      </c>
      <c r="D65" s="4" t="s">
        <v>5</v>
      </c>
      <c r="E65" s="4">
        <v>785</v>
      </c>
      <c r="F65" s="4" t="s">
        <v>292</v>
      </c>
      <c r="G65" s="4" t="s">
        <v>5</v>
      </c>
      <c r="H65" s="2">
        <f t="shared" si="0"/>
        <v>8649</v>
      </c>
    </row>
    <row r="66" spans="3:8" x14ac:dyDescent="0.3">
      <c r="C66" s="4" t="s">
        <v>75</v>
      </c>
      <c r="D66" s="4" t="s">
        <v>5</v>
      </c>
      <c r="E66" s="4">
        <v>896</v>
      </c>
      <c r="F66" s="4" t="s">
        <v>293</v>
      </c>
      <c r="G66" s="4" t="s">
        <v>5</v>
      </c>
      <c r="H66" s="2">
        <f t="shared" si="0"/>
        <v>9870</v>
      </c>
    </row>
    <row r="67" spans="3:8" x14ac:dyDescent="0.3">
      <c r="C67" s="4" t="s">
        <v>76</v>
      </c>
      <c r="D67" s="4" t="s">
        <v>5</v>
      </c>
      <c r="E67" s="4">
        <v>920</v>
      </c>
      <c r="F67" s="4" t="s">
        <v>294</v>
      </c>
      <c r="G67" s="4" t="s">
        <v>5</v>
      </c>
      <c r="H67" s="2">
        <f t="shared" ref="H67:H101" si="1">$B$2 + $B$3*E67</f>
        <v>10134</v>
      </c>
    </row>
    <row r="68" spans="3:8" x14ac:dyDescent="0.3">
      <c r="C68" s="4" t="s">
        <v>77</v>
      </c>
      <c r="D68" s="4" t="s">
        <v>5</v>
      </c>
      <c r="E68" s="4">
        <v>147</v>
      </c>
      <c r="F68" s="4" t="s">
        <v>295</v>
      </c>
      <c r="G68" s="4" t="s">
        <v>5</v>
      </c>
      <c r="H68" s="2">
        <f t="shared" si="1"/>
        <v>1631</v>
      </c>
    </row>
    <row r="69" spans="3:8" x14ac:dyDescent="0.3">
      <c r="C69" s="4" t="s">
        <v>78</v>
      </c>
      <c r="D69" s="4" t="s">
        <v>5</v>
      </c>
      <c r="E69" s="4">
        <v>712</v>
      </c>
      <c r="F69" s="4" t="s">
        <v>296</v>
      </c>
      <c r="G69" s="4" t="s">
        <v>5</v>
      </c>
      <c r="H69" s="2">
        <f t="shared" si="1"/>
        <v>7846</v>
      </c>
    </row>
    <row r="70" spans="3:8" x14ac:dyDescent="0.3">
      <c r="C70" s="4" t="s">
        <v>79</v>
      </c>
      <c r="D70" s="4" t="s">
        <v>5</v>
      </c>
      <c r="E70" s="4">
        <v>418</v>
      </c>
      <c r="F70" s="4" t="s">
        <v>297</v>
      </c>
      <c r="G70" s="4" t="s">
        <v>5</v>
      </c>
      <c r="H70" s="2">
        <f t="shared" si="1"/>
        <v>4612</v>
      </c>
    </row>
    <row r="71" spans="3:8" x14ac:dyDescent="0.3">
      <c r="C71" s="4" t="s">
        <v>80</v>
      </c>
      <c r="D71" s="4" t="s">
        <v>5</v>
      </c>
      <c r="E71" s="4">
        <v>876</v>
      </c>
      <c r="F71" s="4" t="s">
        <v>298</v>
      </c>
      <c r="G71" s="4" t="s">
        <v>5</v>
      </c>
      <c r="H71" s="2">
        <f t="shared" si="1"/>
        <v>9650</v>
      </c>
    </row>
    <row r="72" spans="3:8" x14ac:dyDescent="0.3">
      <c r="C72" s="4" t="s">
        <v>81</v>
      </c>
      <c r="D72" s="4" t="s">
        <v>5</v>
      </c>
      <c r="E72" s="4">
        <v>757</v>
      </c>
      <c r="F72" s="4" t="s">
        <v>299</v>
      </c>
      <c r="G72" s="4" t="s">
        <v>5</v>
      </c>
      <c r="H72" s="2">
        <f t="shared" si="1"/>
        <v>8341</v>
      </c>
    </row>
    <row r="73" spans="3:8" x14ac:dyDescent="0.3">
      <c r="C73" s="4" t="s">
        <v>82</v>
      </c>
      <c r="D73" s="4" t="s">
        <v>5</v>
      </c>
      <c r="E73" s="4">
        <v>670</v>
      </c>
      <c r="F73" s="4" t="s">
        <v>300</v>
      </c>
      <c r="G73" s="4" t="s">
        <v>5</v>
      </c>
      <c r="H73" s="2">
        <f t="shared" si="1"/>
        <v>7384</v>
      </c>
    </row>
    <row r="74" spans="3:8" x14ac:dyDescent="0.3">
      <c r="C74" s="4" t="s">
        <v>83</v>
      </c>
      <c r="D74" s="4" t="s">
        <v>5</v>
      </c>
      <c r="E74" s="4">
        <v>823</v>
      </c>
      <c r="F74" s="4" t="s">
        <v>301</v>
      </c>
      <c r="G74" s="4" t="s">
        <v>5</v>
      </c>
      <c r="H74" s="2">
        <f t="shared" si="1"/>
        <v>9067</v>
      </c>
    </row>
    <row r="75" spans="3:8" x14ac:dyDescent="0.3">
      <c r="C75" s="4" t="s">
        <v>84</v>
      </c>
      <c r="D75" s="4" t="s">
        <v>5</v>
      </c>
      <c r="E75" s="4">
        <v>634</v>
      </c>
      <c r="F75" s="4" t="s">
        <v>302</v>
      </c>
      <c r="G75" s="4" t="s">
        <v>5</v>
      </c>
      <c r="H75" s="2">
        <f t="shared" si="1"/>
        <v>6988</v>
      </c>
    </row>
    <row r="76" spans="3:8" x14ac:dyDescent="0.3">
      <c r="C76" s="4" t="s">
        <v>85</v>
      </c>
      <c r="D76" s="4" t="s">
        <v>5</v>
      </c>
      <c r="E76" s="4">
        <v>407</v>
      </c>
      <c r="F76" s="4" t="s">
        <v>303</v>
      </c>
      <c r="G76" s="4" t="s">
        <v>5</v>
      </c>
      <c r="H76" s="2">
        <f t="shared" si="1"/>
        <v>4491</v>
      </c>
    </row>
    <row r="77" spans="3:8" x14ac:dyDescent="0.3">
      <c r="C77" s="4" t="s">
        <v>86</v>
      </c>
      <c r="D77" s="4" t="s">
        <v>5</v>
      </c>
      <c r="E77" s="4">
        <v>923</v>
      </c>
      <c r="F77" s="4" t="s">
        <v>304</v>
      </c>
      <c r="G77" s="4" t="s">
        <v>5</v>
      </c>
      <c r="H77" s="2">
        <f t="shared" si="1"/>
        <v>10167</v>
      </c>
    </row>
    <row r="78" spans="3:8" x14ac:dyDescent="0.3">
      <c r="C78" s="4" t="s">
        <v>87</v>
      </c>
      <c r="D78" s="4" t="s">
        <v>5</v>
      </c>
      <c r="E78" s="4">
        <v>235</v>
      </c>
      <c r="F78" s="4" t="s">
        <v>305</v>
      </c>
      <c r="G78" s="4" t="s">
        <v>5</v>
      </c>
      <c r="H78" s="2">
        <f t="shared" si="1"/>
        <v>2599</v>
      </c>
    </row>
    <row r="79" spans="3:8" x14ac:dyDescent="0.3">
      <c r="C79" s="4" t="s">
        <v>88</v>
      </c>
      <c r="D79" s="4" t="s">
        <v>5</v>
      </c>
      <c r="E79" s="4">
        <v>314</v>
      </c>
      <c r="F79" s="4" t="s">
        <v>306</v>
      </c>
      <c r="G79" s="4" t="s">
        <v>5</v>
      </c>
      <c r="H79" s="2">
        <f t="shared" si="1"/>
        <v>3468</v>
      </c>
    </row>
    <row r="80" spans="3:8" x14ac:dyDescent="0.3">
      <c r="C80" s="4" t="s">
        <v>89</v>
      </c>
      <c r="D80" s="4" t="s">
        <v>5</v>
      </c>
      <c r="E80" s="4">
        <v>911</v>
      </c>
      <c r="F80" s="4" t="s">
        <v>307</v>
      </c>
      <c r="G80" s="4" t="s">
        <v>5</v>
      </c>
      <c r="H80" s="2">
        <f t="shared" si="1"/>
        <v>10035</v>
      </c>
    </row>
    <row r="81" spans="3:8" x14ac:dyDescent="0.3">
      <c r="C81" s="4" t="s">
        <v>90</v>
      </c>
      <c r="D81" s="4" t="s">
        <v>5</v>
      </c>
      <c r="E81" s="4">
        <v>273</v>
      </c>
      <c r="F81" s="4" t="s">
        <v>308</v>
      </c>
      <c r="G81" s="4" t="s">
        <v>5</v>
      </c>
      <c r="H81" s="2">
        <f t="shared" si="1"/>
        <v>3017</v>
      </c>
    </row>
    <row r="82" spans="3:8" x14ac:dyDescent="0.3">
      <c r="C82" s="4" t="s">
        <v>91</v>
      </c>
      <c r="D82" s="4" t="s">
        <v>5</v>
      </c>
      <c r="E82" s="4">
        <v>403</v>
      </c>
      <c r="F82" s="4" t="s">
        <v>309</v>
      </c>
      <c r="G82" s="4" t="s">
        <v>5</v>
      </c>
      <c r="H82" s="2">
        <f t="shared" si="1"/>
        <v>4447</v>
      </c>
    </row>
    <row r="83" spans="3:8" x14ac:dyDescent="0.3">
      <c r="C83" s="4" t="s">
        <v>92</v>
      </c>
      <c r="D83" s="4" t="s">
        <v>5</v>
      </c>
      <c r="E83" s="4">
        <v>692</v>
      </c>
      <c r="F83" s="4" t="s">
        <v>310</v>
      </c>
      <c r="G83" s="4" t="s">
        <v>5</v>
      </c>
      <c r="H83" s="2">
        <f t="shared" si="1"/>
        <v>7626</v>
      </c>
    </row>
    <row r="84" spans="3:8" x14ac:dyDescent="0.3">
      <c r="C84" s="4" t="s">
        <v>93</v>
      </c>
      <c r="D84" s="4" t="s">
        <v>5</v>
      </c>
      <c r="E84" s="4">
        <v>429</v>
      </c>
      <c r="F84" s="4" t="s">
        <v>311</v>
      </c>
      <c r="G84" s="4" t="s">
        <v>5</v>
      </c>
      <c r="H84" s="2">
        <f t="shared" si="1"/>
        <v>4733</v>
      </c>
    </row>
    <row r="85" spans="3:8" x14ac:dyDescent="0.3">
      <c r="C85" s="4" t="s">
        <v>94</v>
      </c>
      <c r="D85" s="4" t="s">
        <v>5</v>
      </c>
      <c r="E85" s="4">
        <v>902</v>
      </c>
      <c r="F85" s="4" t="s">
        <v>312</v>
      </c>
      <c r="G85" s="4" t="s">
        <v>5</v>
      </c>
      <c r="H85" s="2">
        <f t="shared" si="1"/>
        <v>9936</v>
      </c>
    </row>
    <row r="86" spans="3:8" x14ac:dyDescent="0.3">
      <c r="C86" s="4" t="s">
        <v>95</v>
      </c>
      <c r="D86" s="4" t="s">
        <v>5</v>
      </c>
      <c r="E86" s="4">
        <v>283</v>
      </c>
      <c r="F86" s="4" t="s">
        <v>313</v>
      </c>
      <c r="G86" s="4" t="s">
        <v>5</v>
      </c>
      <c r="H86" s="2">
        <f t="shared" si="1"/>
        <v>3127</v>
      </c>
    </row>
    <row r="87" spans="3:8" x14ac:dyDescent="0.3">
      <c r="C87" s="4" t="s">
        <v>96</v>
      </c>
      <c r="D87" s="4" t="s">
        <v>5</v>
      </c>
      <c r="E87" s="4">
        <v>677</v>
      </c>
      <c r="F87" s="4" t="s">
        <v>314</v>
      </c>
      <c r="G87" s="4" t="s">
        <v>5</v>
      </c>
      <c r="H87" s="2">
        <f t="shared" si="1"/>
        <v>7461</v>
      </c>
    </row>
    <row r="88" spans="3:8" x14ac:dyDescent="0.3">
      <c r="C88" s="4" t="s">
        <v>97</v>
      </c>
      <c r="D88" s="4" t="s">
        <v>5</v>
      </c>
      <c r="E88" s="4">
        <v>316</v>
      </c>
      <c r="F88" s="4" t="s">
        <v>315</v>
      </c>
      <c r="G88" s="4" t="s">
        <v>5</v>
      </c>
      <c r="H88" s="2">
        <f t="shared" si="1"/>
        <v>3490</v>
      </c>
    </row>
    <row r="89" spans="3:8" x14ac:dyDescent="0.3">
      <c r="C89" s="4" t="s">
        <v>98</v>
      </c>
      <c r="D89" s="4" t="s">
        <v>5</v>
      </c>
      <c r="E89" s="4">
        <v>305</v>
      </c>
      <c r="F89" s="4" t="s">
        <v>316</v>
      </c>
      <c r="G89" s="4" t="s">
        <v>5</v>
      </c>
      <c r="H89" s="2">
        <f t="shared" si="1"/>
        <v>3369</v>
      </c>
    </row>
    <row r="90" spans="3:8" x14ac:dyDescent="0.3">
      <c r="C90" s="4" t="s">
        <v>99</v>
      </c>
      <c r="D90" s="4" t="s">
        <v>5</v>
      </c>
      <c r="E90" s="4">
        <v>970</v>
      </c>
      <c r="F90" s="4" t="s">
        <v>317</v>
      </c>
      <c r="G90" s="4" t="s">
        <v>5</v>
      </c>
      <c r="H90" s="2">
        <f t="shared" si="1"/>
        <v>10684</v>
      </c>
    </row>
    <row r="91" spans="3:8" x14ac:dyDescent="0.3">
      <c r="C91" s="4" t="s">
        <v>100</v>
      </c>
      <c r="D91" s="4" t="s">
        <v>5</v>
      </c>
      <c r="E91" s="4">
        <v>362</v>
      </c>
      <c r="F91" s="4" t="s">
        <v>318</v>
      </c>
      <c r="G91" s="4" t="s">
        <v>5</v>
      </c>
      <c r="H91" s="2">
        <f t="shared" si="1"/>
        <v>3996</v>
      </c>
    </row>
    <row r="92" spans="3:8" x14ac:dyDescent="0.3">
      <c r="C92" s="4" t="s">
        <v>101</v>
      </c>
      <c r="D92" s="4" t="s">
        <v>5</v>
      </c>
      <c r="E92" s="4">
        <v>836</v>
      </c>
      <c r="F92" s="4" t="s">
        <v>319</v>
      </c>
      <c r="G92" s="4" t="s">
        <v>5</v>
      </c>
      <c r="H92" s="2">
        <f t="shared" si="1"/>
        <v>9210</v>
      </c>
    </row>
    <row r="93" spans="3:8" x14ac:dyDescent="0.3">
      <c r="C93" s="4" t="s">
        <v>102</v>
      </c>
      <c r="D93" s="4" t="s">
        <v>5</v>
      </c>
      <c r="E93" s="4">
        <v>66</v>
      </c>
      <c r="F93" s="4" t="s">
        <v>320</v>
      </c>
      <c r="G93" s="4" t="s">
        <v>5</v>
      </c>
      <c r="H93" s="2">
        <f t="shared" si="1"/>
        <v>740</v>
      </c>
    </row>
    <row r="94" spans="3:8" x14ac:dyDescent="0.3">
      <c r="C94" s="4" t="s">
        <v>103</v>
      </c>
      <c r="D94" s="4" t="s">
        <v>5</v>
      </c>
      <c r="E94" s="4">
        <v>590</v>
      </c>
      <c r="F94" s="4" t="s">
        <v>321</v>
      </c>
      <c r="G94" s="4" t="s">
        <v>5</v>
      </c>
      <c r="H94" s="2">
        <f t="shared" si="1"/>
        <v>6504</v>
      </c>
    </row>
    <row r="95" spans="3:8" x14ac:dyDescent="0.3">
      <c r="C95" s="4" t="s">
        <v>104</v>
      </c>
      <c r="D95" s="4" t="s">
        <v>5</v>
      </c>
      <c r="E95" s="4">
        <v>852</v>
      </c>
      <c r="F95" s="4" t="s">
        <v>322</v>
      </c>
      <c r="G95" s="4" t="s">
        <v>5</v>
      </c>
      <c r="H95" s="2">
        <f t="shared" si="1"/>
        <v>9386</v>
      </c>
    </row>
    <row r="96" spans="3:8" x14ac:dyDescent="0.3">
      <c r="C96" s="4" t="s">
        <v>105</v>
      </c>
      <c r="D96" s="4" t="s">
        <v>5</v>
      </c>
      <c r="E96" s="4">
        <v>963</v>
      </c>
      <c r="F96" s="4" t="s">
        <v>323</v>
      </c>
      <c r="G96" s="4" t="s">
        <v>5</v>
      </c>
      <c r="H96" s="2">
        <f t="shared" si="1"/>
        <v>10607</v>
      </c>
    </row>
    <row r="97" spans="3:8" x14ac:dyDescent="0.3">
      <c r="C97" s="4" t="s">
        <v>106</v>
      </c>
      <c r="D97" s="4" t="s">
        <v>5</v>
      </c>
      <c r="E97" s="4">
        <v>802</v>
      </c>
      <c r="F97" s="4" t="s">
        <v>324</v>
      </c>
      <c r="G97" s="4" t="s">
        <v>5</v>
      </c>
      <c r="H97" s="2">
        <f t="shared" si="1"/>
        <v>8836</v>
      </c>
    </row>
    <row r="98" spans="3:8" x14ac:dyDescent="0.3">
      <c r="C98" s="4" t="s">
        <v>107</v>
      </c>
      <c r="D98" s="4" t="s">
        <v>5</v>
      </c>
      <c r="E98" s="4">
        <v>686</v>
      </c>
      <c r="F98" s="4" t="s">
        <v>325</v>
      </c>
      <c r="G98" s="4" t="s">
        <v>5</v>
      </c>
      <c r="H98" s="2">
        <f t="shared" si="1"/>
        <v>7560</v>
      </c>
    </row>
    <row r="99" spans="3:8" x14ac:dyDescent="0.3">
      <c r="C99" s="4" t="s">
        <v>108</v>
      </c>
      <c r="D99" s="4" t="s">
        <v>5</v>
      </c>
      <c r="E99" s="4">
        <v>256</v>
      </c>
      <c r="F99" s="4" t="s">
        <v>326</v>
      </c>
      <c r="G99" s="4" t="s">
        <v>5</v>
      </c>
      <c r="H99" s="2">
        <f t="shared" si="1"/>
        <v>2830</v>
      </c>
    </row>
    <row r="100" spans="3:8" x14ac:dyDescent="0.3">
      <c r="C100" s="4" t="s">
        <v>109</v>
      </c>
      <c r="D100" s="4" t="s">
        <v>5</v>
      </c>
      <c r="E100" s="4">
        <v>240</v>
      </c>
      <c r="F100" s="4" t="s">
        <v>327</v>
      </c>
      <c r="G100" s="4" t="s">
        <v>5</v>
      </c>
      <c r="H100" s="2">
        <f t="shared" si="1"/>
        <v>2654</v>
      </c>
    </row>
    <row r="101" spans="3:8" x14ac:dyDescent="0.3">
      <c r="C101" s="4" t="s">
        <v>110</v>
      </c>
      <c r="D101" s="4" t="s">
        <v>5</v>
      </c>
      <c r="E101" s="4">
        <v>629</v>
      </c>
      <c r="F101" s="4" t="s">
        <v>328</v>
      </c>
      <c r="G101" s="4" t="s">
        <v>5</v>
      </c>
      <c r="H101" s="2">
        <f t="shared" si="1"/>
        <v>6933</v>
      </c>
    </row>
    <row r="102" spans="3:8" x14ac:dyDescent="0.3">
      <c r="C102" s="3"/>
      <c r="D102" s="3"/>
      <c r="E102" s="3"/>
      <c r="F102" s="3"/>
      <c r="G102" s="3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20"/>
  <sheetViews>
    <sheetView topLeftCell="A98" workbookViewId="0">
      <selection activeCell="I122" sqref="I122"/>
    </sheetView>
  </sheetViews>
  <sheetFormatPr defaultRowHeight="14.4" x14ac:dyDescent="0.3"/>
  <cols>
    <col min="1" max="1" width="16.6640625" customWidth="1"/>
    <col min="3" max="3" width="10" bestFit="1" customWidth="1"/>
  </cols>
  <sheetData>
    <row r="1" spans="1:17" x14ac:dyDescent="0.3">
      <c r="A1" s="3" t="s">
        <v>211</v>
      </c>
      <c r="H1" t="s">
        <v>329</v>
      </c>
      <c r="I1" t="s">
        <v>331</v>
      </c>
      <c r="J1" t="s">
        <v>330</v>
      </c>
      <c r="K1" t="s">
        <v>332</v>
      </c>
      <c r="L1" t="s">
        <v>333</v>
      </c>
      <c r="M1" t="s">
        <v>334</v>
      </c>
      <c r="N1" t="s">
        <v>335</v>
      </c>
      <c r="O1" t="s">
        <v>336</v>
      </c>
      <c r="P1" t="s">
        <v>337</v>
      </c>
      <c r="Q1" t="s">
        <v>338</v>
      </c>
    </row>
    <row r="2" spans="1:17" x14ac:dyDescent="0.3">
      <c r="A2" s="1" t="s">
        <v>2</v>
      </c>
      <c r="B2" s="2">
        <v>14</v>
      </c>
      <c r="C2" s="4" t="s">
        <v>11</v>
      </c>
      <c r="D2" s="4" t="s">
        <v>5</v>
      </c>
      <c r="E2" s="4">
        <v>212</v>
      </c>
      <c r="F2" s="4" t="s">
        <v>218</v>
      </c>
      <c r="G2" s="4" t="s">
        <v>5</v>
      </c>
      <c r="H2" s="2">
        <f>$B$2 + $B$3*E2 + 'Станд.норм.распр.'!B3 * $B$4</f>
        <v>2345.7469467416522</v>
      </c>
      <c r="I2" s="2">
        <f>$B$2 + $B$3*E2 + 'Станд.норм.распр.'!C3 * $B$4</f>
        <v>2330.6845685169683</v>
      </c>
      <c r="J2" s="2">
        <f>$B$2 + $B$3*E2 + 'Станд.норм.распр.'!D3 * $B$4</f>
        <v>2341.1263612274488</v>
      </c>
      <c r="K2" s="2">
        <f>$B$2 + $B$3*E2 + 'Станд.норм.распр.'!E3 * $B$4</f>
        <v>2349.5931373076892</v>
      </c>
      <c r="L2" s="2">
        <f>$B$2 + $B$3*E2 + 'Станд.норм.распр.'!F3 * $B$4</f>
        <v>2337.5392842467409</v>
      </c>
      <c r="M2" s="2">
        <f>$B$2 + $B$3*E2 + 'Станд.норм.распр.'!G3 * $B$4</f>
        <v>2349.4341348964517</v>
      </c>
      <c r="N2" s="2">
        <f>$B$2 + $B$3*E2 + 'Станд.норм.распр.'!H3 * $B$4</f>
        <v>2353.9433880273427</v>
      </c>
      <c r="O2" s="2">
        <f>$B$2 + $B$3*E2 + 'Станд.норм.распр.'!I3 * $B$4</f>
        <v>2326.8995744388085</v>
      </c>
      <c r="P2" s="2">
        <f>$B$2 + $B$3*E2 + 'Станд.норм.распр.'!J3 * $B$4</f>
        <v>2353.3036949288507</v>
      </c>
      <c r="Q2" s="2">
        <f>$B$2 + $B$3*E2 + 'Станд.норм.распр.'!K3 * $B$4</f>
        <v>2337.4802333478292</v>
      </c>
    </row>
    <row r="3" spans="1:17" x14ac:dyDescent="0.3">
      <c r="A3" s="1" t="s">
        <v>3</v>
      </c>
      <c r="B3" s="2">
        <v>11</v>
      </c>
      <c r="C3" s="4" t="s">
        <v>12</v>
      </c>
      <c r="D3" s="4" t="s">
        <v>5</v>
      </c>
      <c r="E3" s="4">
        <v>780</v>
      </c>
      <c r="F3" s="4" t="s">
        <v>230</v>
      </c>
      <c r="G3" s="4" t="s">
        <v>5</v>
      </c>
      <c r="H3" s="2">
        <f>$B$2 + $B$3*E3 + 'Станд.норм.распр.'!B4 * $B$4</f>
        <v>8592.7960427461076</v>
      </c>
      <c r="I3" s="2">
        <f>$B$2 + $B$3*E3 + 'Станд.норм.распр.'!C4 * $B$4</f>
        <v>8612.5312910616631</v>
      </c>
      <c r="J3" s="2">
        <f>$B$2 + $B$3*E3 + 'Станд.норм.распр.'!D4 * $B$4</f>
        <v>8612.3902557182591</v>
      </c>
      <c r="K3" s="2">
        <f>$B$2 + $B$3*E3 + 'Станд.норм.распр.'!E4 * $B$4</f>
        <v>8605.7286890599644</v>
      </c>
      <c r="L3" s="2">
        <f>$B$2 + $B$3*E3 + 'Станд.норм.распр.'!F4 * $B$4</f>
        <v>8601.0604028223897</v>
      </c>
      <c r="M3" s="2">
        <f>$B$2 + $B$3*E3 + 'Станд.норм.распр.'!G4 * $B$4</f>
        <v>8585.7595619081112</v>
      </c>
      <c r="N3" s="2">
        <f>$B$2 + $B$3*E3 + 'Станд.норм.распр.'!H4 * $B$4</f>
        <v>8586.2821140444139</v>
      </c>
      <c r="O3" s="2">
        <f>$B$2 + $B$3*E3 + 'Станд.норм.распр.'!I4 * $B$4</f>
        <v>8599.8643240663514</v>
      </c>
      <c r="P3" s="2">
        <f>$B$2 + $B$3*E3 + 'Станд.норм.распр.'!J4 * $B$4</f>
        <v>8594.4218577487336</v>
      </c>
      <c r="Q3" s="2">
        <f>$B$2 + $B$3*E3 + 'Станд.норм.распр.'!K4 * $B$4</f>
        <v>8600.3320817389467</v>
      </c>
    </row>
    <row r="4" spans="1:17" x14ac:dyDescent="0.3">
      <c r="A4" s="1" t="s">
        <v>4</v>
      </c>
      <c r="B4" s="2">
        <v>9</v>
      </c>
      <c r="C4" s="4" t="s">
        <v>13</v>
      </c>
      <c r="D4" s="4" t="s">
        <v>5</v>
      </c>
      <c r="E4" s="4">
        <v>280</v>
      </c>
      <c r="F4" s="4" t="s">
        <v>231</v>
      </c>
      <c r="G4" s="4" t="s">
        <v>5</v>
      </c>
      <c r="H4" s="2">
        <f>$B$2 + $B$3*E4 + 'Станд.норм.распр.'!B5 * $B$4</f>
        <v>3088.252656279059</v>
      </c>
      <c r="I4" s="2">
        <f>$B$2 + $B$3*E4 + 'Станд.норм.распр.'!C5 * $B$4</f>
        <v>3090.5325196171761</v>
      </c>
      <c r="J4" s="2">
        <f>$B$2 + $B$3*E4 + 'Станд.норм.распр.'!D5 * $B$4</f>
        <v>3102.4125986177241</v>
      </c>
      <c r="K4" s="2">
        <f>$B$2 + $B$3*E4 + 'Станд.норм.распр.'!E5 * $B$4</f>
        <v>3112.7127625395078</v>
      </c>
      <c r="L4" s="2">
        <f>$B$2 + $B$3*E4 + 'Станд.норм.распр.'!F5 * $B$4</f>
        <v>3097.3601997984078</v>
      </c>
      <c r="M4" s="2">
        <f>$B$2 + $B$3*E4 + 'Станд.норм.распр.'!G5 * $B$4</f>
        <v>3093.5360997218086</v>
      </c>
      <c r="N4" s="2">
        <f>$B$2 + $B$3*E4 + 'Станд.норм.распр.'!H5 * $B$4</f>
        <v>3105.6819225240615</v>
      </c>
      <c r="O4" s="2">
        <f>$B$2 + $B$3*E4 + 'Станд.норм.распр.'!I5 * $B$4</f>
        <v>3083.8589612712385</v>
      </c>
      <c r="P4" s="2">
        <f>$B$2 + $B$3*E4 + 'Станд.норм.распр.'!J5 * $B$4</f>
        <v>3084.8804034021159</v>
      </c>
      <c r="Q4" s="2">
        <f>$B$2 + $B$3*E4 + 'Станд.норм.распр.'!K5 * $B$4</f>
        <v>3087.6837878067308</v>
      </c>
    </row>
    <row r="5" spans="1:17" x14ac:dyDescent="0.3">
      <c r="C5" s="4" t="s">
        <v>14</v>
      </c>
      <c r="D5" s="4" t="s">
        <v>5</v>
      </c>
      <c r="E5" s="4">
        <v>888</v>
      </c>
      <c r="F5" s="4" t="s">
        <v>232</v>
      </c>
      <c r="G5" s="4" t="s">
        <v>5</v>
      </c>
      <c r="H5" s="2">
        <f>$B$2 + $B$3*E5 + 'Станд.норм.распр.'!B6 * $B$4</f>
        <v>9773.9626634437009</v>
      </c>
      <c r="I5" s="2">
        <f>$B$2 + $B$3*E5 + 'Станд.норм.распр.'!C6 * $B$4</f>
        <v>9801.2947481991723</v>
      </c>
      <c r="J5" s="2">
        <f>$B$2 + $B$3*E5 + 'Станд.норм.распр.'!D6 * $B$4</f>
        <v>9781.7497093318088</v>
      </c>
      <c r="K5" s="2">
        <f>$B$2 + $B$3*E5 + 'Станд.норм.распр.'!E6 * $B$4</f>
        <v>9779.257546056062</v>
      </c>
      <c r="L5" s="2">
        <f>$B$2 + $B$3*E5 + 'Станд.норм.распр.'!F6 * $B$4</f>
        <v>9784.8768999982276</v>
      </c>
      <c r="M5" s="2">
        <f>$B$2 + $B$3*E5 + 'Станд.норм.распр.'!G6 * $B$4</f>
        <v>9784.6236830308335</v>
      </c>
      <c r="N5" s="2">
        <f>$B$2 + $B$3*E5 + 'Станд.норм.распр.'!H6 * $B$4</f>
        <v>9802.2116825676057</v>
      </c>
      <c r="O5" s="2">
        <f>$B$2 + $B$3*E5 + 'Станд.норм.распр.'!I6 * $B$4</f>
        <v>9784.795147793222</v>
      </c>
      <c r="P5" s="2">
        <f>$B$2 + $B$3*E5 + 'Станд.норм.распр.'!J6 * $B$4</f>
        <v>9782.6190862222866</v>
      </c>
      <c r="Q5" s="2">
        <f>$B$2 + $B$3*E5 + 'Станд.норм.распр.'!K6 * $B$4</f>
        <v>9782.3977311280323</v>
      </c>
    </row>
    <row r="6" spans="1:17" x14ac:dyDescent="0.3">
      <c r="C6" s="4" t="s">
        <v>15</v>
      </c>
      <c r="D6" s="4" t="s">
        <v>5</v>
      </c>
      <c r="E6" s="4">
        <v>314</v>
      </c>
      <c r="F6" s="4" t="s">
        <v>233</v>
      </c>
      <c r="G6" s="4" t="s">
        <v>5</v>
      </c>
      <c r="H6" s="2">
        <f>$B$2 + $B$3*E6 + 'Станд.норм.распр.'!B7 * $B$4</f>
        <v>3468.0361387719749</v>
      </c>
      <c r="I6" s="2">
        <f>$B$2 + $B$3*E6 + 'Станд.норм.распр.'!C7 * $B$4</f>
        <v>3468.6232301075215</v>
      </c>
      <c r="J6" s="2">
        <f>$B$2 + $B$3*E6 + 'Станд.норм.распр.'!D7 * $B$4</f>
        <v>3472.1674286421767</v>
      </c>
      <c r="K6" s="2">
        <f>$B$2 + $B$3*E6 + 'Станд.норм.распр.'!E7 * $B$4</f>
        <v>3467.6677320268645</v>
      </c>
      <c r="L6" s="2">
        <f>$B$2 + $B$3*E6 + 'Станд.норм.распр.'!F7 * $B$4</f>
        <v>3469.9163269371347</v>
      </c>
      <c r="M6" s="2">
        <f>$B$2 + $B$3*E6 + 'Станд.норм.распр.'!G7 * $B$4</f>
        <v>3467.2068705978454</v>
      </c>
      <c r="N6" s="2">
        <f>$B$2 + $B$3*E6 + 'Станд.норм.распр.'!H7 * $B$4</f>
        <v>3465.6010894897627</v>
      </c>
      <c r="O6" s="2">
        <f>$B$2 + $B$3*E6 + 'Станд.норм.распр.'!I7 * $B$4</f>
        <v>3471.2990033105307</v>
      </c>
      <c r="P6" s="2">
        <f>$B$2 + $B$3*E6 + 'Станд.норм.распр.'!J7 * $B$4</f>
        <v>3468.3823291535955</v>
      </c>
      <c r="Q6" s="2">
        <f>$B$2 + $B$3*E6 + 'Станд.норм.распр.'!K7 * $B$4</f>
        <v>3481.8136465466232</v>
      </c>
    </row>
    <row r="7" spans="1:17" x14ac:dyDescent="0.3">
      <c r="C7" s="4" t="s">
        <v>16</v>
      </c>
      <c r="D7" s="4" t="s">
        <v>5</v>
      </c>
      <c r="E7" s="4">
        <v>780</v>
      </c>
      <c r="F7" s="4" t="s">
        <v>234</v>
      </c>
      <c r="G7" s="4" t="s">
        <v>5</v>
      </c>
      <c r="H7" s="2">
        <f>$B$2 + $B$3*E7 + 'Станд.норм.распр.'!B8 * $B$4</f>
        <v>8586.5498673292168</v>
      </c>
      <c r="I7" s="2">
        <f>$B$2 + $B$3*E7 + 'Станд.норм.распр.'!C8 * $B$4</f>
        <v>8577.6000779396272</v>
      </c>
      <c r="J7" s="2">
        <f>$B$2 + $B$3*E7 + 'Станд.норм.распр.'!D8 * $B$4</f>
        <v>8599.2095185765211</v>
      </c>
      <c r="K7" s="2">
        <f>$B$2 + $B$3*E7 + 'Станд.норм.распр.'!E8 * $B$4</f>
        <v>8585.5189505372837</v>
      </c>
      <c r="L7" s="2">
        <f>$B$2 + $B$3*E7 + 'Станд.норм.распр.'!F8 * $B$4</f>
        <v>8599.4209999689192</v>
      </c>
      <c r="M7" s="2">
        <f>$B$2 + $B$3*E7 + 'Станд.норм.распр.'!G8 * $B$4</f>
        <v>8595.7188733636431</v>
      </c>
      <c r="N7" s="2">
        <f>$B$2 + $B$3*E7 + 'Станд.норм.распр.'!H8 * $B$4</f>
        <v>8592.115350763328</v>
      </c>
      <c r="O7" s="2">
        <f>$B$2 + $B$3*E7 + 'Станд.норм.распр.'!I8 * $B$4</f>
        <v>8586.8275997262972</v>
      </c>
      <c r="P7" s="2">
        <f>$B$2 + $B$3*E7 + 'Станд.норм.распр.'!J8 * $B$4</f>
        <v>8586.4299299891572</v>
      </c>
      <c r="Q7" s="2">
        <f>$B$2 + $B$3*E7 + 'Станд.норм.распр.'!K8 * $B$4</f>
        <v>8602.2540668699949</v>
      </c>
    </row>
    <row r="8" spans="1:17" x14ac:dyDescent="0.3">
      <c r="C8" s="4" t="s">
        <v>17</v>
      </c>
      <c r="D8" s="4" t="s">
        <v>5</v>
      </c>
      <c r="E8" s="4">
        <v>993</v>
      </c>
      <c r="F8" s="4" t="s">
        <v>235</v>
      </c>
      <c r="G8" s="4" t="s">
        <v>5</v>
      </c>
      <c r="H8" s="2">
        <f>$B$2 + $B$3*E8 + 'Станд.норм.распр.'!B9 * $B$4</f>
        <v>10948.658232779155</v>
      </c>
      <c r="I8" s="2">
        <f>$B$2 + $B$3*E8 + 'Станд.норм.распр.'!C9 * $B$4</f>
        <v>10928.744889484835</v>
      </c>
      <c r="J8" s="2">
        <f>$B$2 + $B$3*E8 + 'Станд.норм.распр.'!D9 * $B$4</f>
        <v>10945.117656307149</v>
      </c>
      <c r="K8" s="2">
        <f>$B$2 + $B$3*E8 + 'Станд.норм.распр.'!E9 * $B$4</f>
        <v>10947.253547770844</v>
      </c>
      <c r="L8" s="2">
        <f>$B$2 + $B$3*E8 + 'Станд.норм.распр.'!F9 * $B$4</f>
        <v>10939.274297230542</v>
      </c>
      <c r="M8" s="2">
        <f>$B$2 + $B$3*E8 + 'Станд.норм.распр.'!G9 * $B$4</f>
        <v>10936.345706100939</v>
      </c>
      <c r="N8" s="2">
        <f>$B$2 + $B$3*E8 + 'Станд.норм.распр.'!H9 * $B$4</f>
        <v>10942.185115696804</v>
      </c>
      <c r="O8" s="2">
        <f>$B$2 + $B$3*E8 + 'Станд.норм.распр.'!I9 * $B$4</f>
        <v>10942.542830194827</v>
      </c>
      <c r="P8" s="2">
        <f>$B$2 + $B$3*E8 + 'Станд.норм.распр.'!J9 * $B$4</f>
        <v>10943.690768259432</v>
      </c>
      <c r="Q8" s="2">
        <f>$B$2 + $B$3*E8 + 'Станд.норм.распр.'!K9 * $B$4</f>
        <v>10938.776406861609</v>
      </c>
    </row>
    <row r="9" spans="1:17" x14ac:dyDescent="0.3">
      <c r="C9" s="4" t="s">
        <v>18</v>
      </c>
      <c r="D9" s="4" t="s">
        <v>5</v>
      </c>
      <c r="E9" s="4">
        <v>326</v>
      </c>
      <c r="F9" s="4" t="s">
        <v>236</v>
      </c>
      <c r="G9" s="4" t="s">
        <v>5</v>
      </c>
      <c r="H9" s="2">
        <f>$B$2 + $B$3*E9 + 'Станд.норм.распр.'!B10 * $B$4</f>
        <v>3602.9959880976094</v>
      </c>
      <c r="I9" s="2">
        <f>$B$2 + $B$3*E9 + 'Станд.норм.распр.'!C10 * $B$4</f>
        <v>3580.5374500283506</v>
      </c>
      <c r="J9" s="2">
        <f>$B$2 + $B$3*E9 + 'Станд.норм.распр.'!D10 * $B$4</f>
        <v>3593.4553829916695</v>
      </c>
      <c r="K9" s="2">
        <f>$B$2 + $B$3*E9 + 'Станд.норм.распр.'!E10 * $B$4</f>
        <v>3604.0109432575264</v>
      </c>
      <c r="L9" s="2">
        <f>$B$2 + $B$3*E9 + 'Станд.норм.распр.'!F10 * $B$4</f>
        <v>3600.2206797944382</v>
      </c>
      <c r="M9" s="2">
        <f>$B$2 + $B$3*E9 + 'Станд.норм.распр.'!G10 * $B$4</f>
        <v>3616.2536071002251</v>
      </c>
      <c r="N9" s="2">
        <f>$B$2 + $B$3*E9 + 'Станд.норм.распр.'!H10 * $B$4</f>
        <v>3612.4677330859413</v>
      </c>
      <c r="O9" s="2">
        <f>$B$2 + $B$3*E9 + 'Станд.норм.распр.'!I10 * $B$4</f>
        <v>3602.6200916636299</v>
      </c>
      <c r="P9" s="2">
        <f>$B$2 + $B$3*E9 + 'Станд.норм.распр.'!J10 * $B$4</f>
        <v>3607.4765788213117</v>
      </c>
      <c r="Q9" s="2">
        <f>$B$2 + $B$3*E9 + 'Станд.норм.распр.'!K10 * $B$4</f>
        <v>3589.8628493610886</v>
      </c>
    </row>
    <row r="10" spans="1:17" x14ac:dyDescent="0.3">
      <c r="C10" s="4" t="s">
        <v>19</v>
      </c>
      <c r="D10" s="4" t="s">
        <v>5</v>
      </c>
      <c r="E10" s="4">
        <v>906</v>
      </c>
      <c r="F10" s="4" t="s">
        <v>237</v>
      </c>
      <c r="G10" s="4" t="s">
        <v>5</v>
      </c>
      <c r="H10" s="2">
        <f>$B$2 + $B$3*E10 + 'Станд.норм.распр.'!B11 * $B$4</f>
        <v>9986.2608478401671</v>
      </c>
      <c r="I10" s="2">
        <f>$B$2 + $B$3*E10 + 'Станд.норм.распр.'!C11 * $B$4</f>
        <v>9977.5218133840826</v>
      </c>
      <c r="J10" s="2">
        <f>$B$2 + $B$3*E10 + 'Станд.норм.распр.'!D11 * $B$4</f>
        <v>9973.944494462994</v>
      </c>
      <c r="K10" s="2">
        <f>$B$2 + $B$3*E10 + 'Станд.норм.распр.'!E11 * $B$4</f>
        <v>9980.3956643013225</v>
      </c>
      <c r="L10" s="2">
        <f>$B$2 + $B$3*E10 + 'Станд.норм.распр.'!F11 * $B$4</f>
        <v>9977.7889149249677</v>
      </c>
      <c r="M10" s="2">
        <f>$B$2 + $B$3*E10 + 'Станд.норм.распр.'!G11 * $B$4</f>
        <v>9989.6227563517459</v>
      </c>
      <c r="N10" s="2">
        <f>$B$2 + $B$3*E10 + 'Станд.норм.распр.'!H11 * $B$4</f>
        <v>9991.92624495161</v>
      </c>
      <c r="O10" s="2">
        <f>$B$2 + $B$3*E10 + 'Станд.норм.распр.'!I11 * $B$4</f>
        <v>9987.1780891630624</v>
      </c>
      <c r="P10" s="2">
        <f>$B$2 + $B$3*E10 + 'Станд.норм.распр.'!J11 * $B$4</f>
        <v>9990.1918703876436</v>
      </c>
      <c r="Q10" s="2">
        <f>$B$2 + $B$3*E10 + 'Станд.норм.распр.'!K11 * $B$4</f>
        <v>9983.0849128052068</v>
      </c>
    </row>
    <row r="11" spans="1:17" x14ac:dyDescent="0.3">
      <c r="C11" s="4" t="s">
        <v>20</v>
      </c>
      <c r="D11" s="4" t="s">
        <v>5</v>
      </c>
      <c r="E11" s="4">
        <v>790</v>
      </c>
      <c r="F11" s="4" t="s">
        <v>238</v>
      </c>
      <c r="G11" s="4" t="s">
        <v>5</v>
      </c>
      <c r="H11" s="2">
        <f>$B$2 + $B$3*E11 + 'Станд.норм.распр.'!B12 * $B$4</f>
        <v>8706.3896404854895</v>
      </c>
      <c r="I11" s="2">
        <f>$B$2 + $B$3*E11 + 'Станд.норм.распр.'!C12 * $B$4</f>
        <v>8684.69158209546</v>
      </c>
      <c r="J11" s="2">
        <f>$B$2 + $B$3*E11 + 'Станд.норм.распр.'!D12 * $B$4</f>
        <v>8708.5929596126371</v>
      </c>
      <c r="K11" s="2">
        <f>$B$2 + $B$3*E11 + 'Станд.норм.распр.'!E12 * $B$4</f>
        <v>8717.5150003188755</v>
      </c>
      <c r="L11" s="2">
        <f>$B$2 + $B$3*E11 + 'Станд.норм.распр.'!F12 * $B$4</f>
        <v>8709.1453343985486</v>
      </c>
      <c r="M11" s="2">
        <f>$B$2 + $B$3*E11 + 'Станд.норм.распр.'!G12 * $B$4</f>
        <v>8712.3488748714444</v>
      </c>
      <c r="N11" s="2">
        <f>$B$2 + $B$3*E11 + 'Станд.норм.распр.'!H12 * $B$4</f>
        <v>8727.2951424550265</v>
      </c>
      <c r="O11" s="2">
        <f>$B$2 + $B$3*E11 + 'Станд.норм.распр.'!I12 * $B$4</f>
        <v>8714.7527375803329</v>
      </c>
      <c r="P11" s="2">
        <f>$B$2 + $B$3*E11 + 'Станд.норм.распр.'!J12 * $B$4</f>
        <v>8704.8581218935433</v>
      </c>
      <c r="Q11" s="2">
        <f>$B$2 + $B$3*E11 + 'Станд.норм.распр.'!K12 * $B$4</f>
        <v>8701.3569174471777</v>
      </c>
    </row>
    <row r="12" spans="1:17" x14ac:dyDescent="0.3">
      <c r="C12" s="4" t="s">
        <v>21</v>
      </c>
      <c r="D12" s="4" t="s">
        <v>5</v>
      </c>
      <c r="E12" s="4">
        <v>127</v>
      </c>
      <c r="F12" s="4" t="s">
        <v>239</v>
      </c>
      <c r="G12" s="4" t="s">
        <v>5</v>
      </c>
      <c r="H12" s="2">
        <f>$B$2 + $B$3*E12 + 'Станд.норм.распр.'!B13 * $B$4</f>
        <v>1408.8803361955215</v>
      </c>
      <c r="I12" s="2">
        <f>$B$2 + $B$3*E12 + 'Станд.норм.распр.'!C13 * $B$4</f>
        <v>1402.4823820290621</v>
      </c>
      <c r="J12" s="2">
        <f>$B$2 + $B$3*E12 + 'Станд.норм.распр.'!D13 * $B$4</f>
        <v>1410.4167865224881</v>
      </c>
      <c r="K12" s="2">
        <f>$B$2 + $B$3*E12 + 'Станд.норм.распр.'!E13 * $B$4</f>
        <v>1405.7489095575293</v>
      </c>
      <c r="L12" s="2">
        <f>$B$2 + $B$3*E12 + 'Станд.норм.распр.'!F13 * $B$4</f>
        <v>1415.9679761104926</v>
      </c>
      <c r="M12" s="2">
        <f>$B$2 + $B$3*E12 + 'Станд.норм.распр.'!G13 * $B$4</f>
        <v>1403.3284303804394</v>
      </c>
      <c r="N12" s="2">
        <f>$B$2 + $B$3*E12 + 'Станд.норм.распр.'!H13 * $B$4</f>
        <v>1412.9050617083849</v>
      </c>
      <c r="O12" s="2">
        <f>$B$2 + $B$3*E12 + 'Станд.норм.распр.'!I13 * $B$4</f>
        <v>1432.94159606006</v>
      </c>
      <c r="P12" s="2">
        <f>$B$2 + $B$3*E12 + 'Станд.норм.распр.'!J13 * $B$4</f>
        <v>1407.3089749144274</v>
      </c>
      <c r="Q12" s="2">
        <f>$B$2 + $B$3*E12 + 'Станд.норм.распр.'!K13 * $B$4</f>
        <v>1409.8717172527686</v>
      </c>
    </row>
    <row r="13" spans="1:17" x14ac:dyDescent="0.3">
      <c r="C13" s="4" t="s">
        <v>22</v>
      </c>
      <c r="D13" s="4" t="s">
        <v>5</v>
      </c>
      <c r="E13" s="4">
        <v>685</v>
      </c>
      <c r="F13" s="4" t="s">
        <v>240</v>
      </c>
      <c r="G13" s="4" t="s">
        <v>5</v>
      </c>
      <c r="H13" s="2">
        <f>$B$2 + $B$3*E13 + 'Станд.норм.распр.'!B14 * $B$4</f>
        <v>7546.2741420606326</v>
      </c>
      <c r="I13" s="2">
        <f>$B$2 + $B$3*E13 + 'Станд.норм.распр.'!C14 * $B$4</f>
        <v>7542.9324106890126</v>
      </c>
      <c r="J13" s="2">
        <f>$B$2 + $B$3*E13 + 'Станд.норм.распр.'!D14 * $B$4</f>
        <v>7549.0313298187393</v>
      </c>
      <c r="K13" s="2">
        <f>$B$2 + $B$3*E13 + 'Станд.норм.распр.'!E14 * $B$4</f>
        <v>7551.4338828552573</v>
      </c>
      <c r="L13" s="2">
        <f>$B$2 + $B$3*E13 + 'Станд.норм.распр.'!F14 * $B$4</f>
        <v>7553.6039485823712</v>
      </c>
      <c r="M13" s="2">
        <f>$B$2 + $B$3*E13 + 'Станд.норм.распр.'!G14 * $B$4</f>
        <v>7539.6342668509751</v>
      </c>
      <c r="N13" s="2">
        <f>$B$2 + $B$3*E13 + 'Станд.норм.распр.'!H14 * $B$4</f>
        <v>7553.1069790768233</v>
      </c>
      <c r="O13" s="2">
        <f>$B$2 + $B$3*E13 + 'Станд.норм.распр.'!I14 * $B$4</f>
        <v>7542.6758581497998</v>
      </c>
      <c r="P13" s="2">
        <f>$B$2 + $B$3*E13 + 'Станд.норм.распр.'!J14 * $B$4</f>
        <v>7540.8543699095608</v>
      </c>
      <c r="Q13" s="2">
        <f>$B$2 + $B$3*E13 + 'Станд.норм.распр.'!K14 * $B$4</f>
        <v>7548.730412127974</v>
      </c>
    </row>
    <row r="14" spans="1:17" x14ac:dyDescent="0.3">
      <c r="C14" s="4" t="s">
        <v>23</v>
      </c>
      <c r="D14" s="4" t="s">
        <v>5</v>
      </c>
      <c r="E14" s="4">
        <v>320</v>
      </c>
      <c r="F14" s="4" t="s">
        <v>241</v>
      </c>
      <c r="G14" s="4" t="s">
        <v>5</v>
      </c>
      <c r="H14" s="2">
        <f>$B$2 + $B$3*E14 + 'Станд.норм.распр.'!B15 * $B$4</f>
        <v>3535.3193721315474</v>
      </c>
      <c r="I14" s="2">
        <f>$B$2 + $B$3*E14 + 'Станд.норм.распр.'!C15 * $B$4</f>
        <v>3551.5612331076991</v>
      </c>
      <c r="J14" s="2">
        <f>$B$2 + $B$3*E14 + 'Станд.норм.распр.'!D15 * $B$4</f>
        <v>3539.2038194553461</v>
      </c>
      <c r="K14" s="2">
        <f>$B$2 + $B$3*E14 + 'Станд.норм.распр.'!E15 * $B$4</f>
        <v>3535.9212586721551</v>
      </c>
      <c r="L14" s="2">
        <f>$B$2 + $B$3*E14 + 'Станд.норм.распр.'!F15 * $B$4</f>
        <v>3518.702126312186</v>
      </c>
      <c r="M14" s="2">
        <f>$B$2 + $B$3*E14 + 'Станд.норм.распр.'!G15 * $B$4</f>
        <v>3546.2851770356647</v>
      </c>
      <c r="N14" s="2">
        <f>$B$2 + $B$3*E14 + 'Станд.норм.распр.'!H15 * $B$4</f>
        <v>3530.6250694796909</v>
      </c>
      <c r="O14" s="2">
        <f>$B$2 + $B$3*E14 + 'Станд.норм.распр.'!I15 * $B$4</f>
        <v>3550.2465676112333</v>
      </c>
      <c r="P14" s="2">
        <f>$B$2 + $B$3*E14 + 'Станд.норм.распр.'!J15 * $B$4</f>
        <v>3532.3350789989345</v>
      </c>
      <c r="Q14" s="2">
        <f>$B$2 + $B$3*E14 + 'Станд.норм.распр.'!K15 * $B$4</f>
        <v>3531.0737826515688</v>
      </c>
    </row>
    <row r="15" spans="1:17" x14ac:dyDescent="0.3">
      <c r="C15" s="4" t="s">
        <v>24</v>
      </c>
      <c r="D15" s="4" t="s">
        <v>5</v>
      </c>
      <c r="E15" s="4">
        <v>658</v>
      </c>
      <c r="F15" s="4" t="s">
        <v>242</v>
      </c>
      <c r="G15" s="4" t="s">
        <v>5</v>
      </c>
      <c r="H15" s="2">
        <f>$B$2 + $B$3*E15 + 'Станд.норм.распр.'!B16 * $B$4</f>
        <v>7252.0581781023357</v>
      </c>
      <c r="I15" s="2">
        <f>$B$2 + $B$3*E15 + 'Станд.норм.распр.'!C16 * $B$4</f>
        <v>7255.0754279123357</v>
      </c>
      <c r="J15" s="2">
        <f>$B$2 + $B$3*E15 + 'Станд.норм.распр.'!D16 * $B$4</f>
        <v>7251.885362740315</v>
      </c>
      <c r="K15" s="2">
        <f>$B$2 + $B$3*E15 + 'Станд.норм.распр.'!E16 * $B$4</f>
        <v>7240.8384400037467</v>
      </c>
      <c r="L15" s="2">
        <f>$B$2 + $B$3*E15 + 'Станд.норм.распр.'!F16 * $B$4</f>
        <v>7268.0132822202286</v>
      </c>
      <c r="M15" s="2">
        <f>$B$2 + $B$3*E15 + 'Станд.норм.распр.'!G16 * $B$4</f>
        <v>7257.5886789596116</v>
      </c>
      <c r="N15" s="2">
        <f>$B$2 + $B$3*E15 + 'Станд.норм.распр.'!H16 * $B$4</f>
        <v>7252.5859760676685</v>
      </c>
      <c r="O15" s="2">
        <f>$B$2 + $B$3*E15 + 'Станд.норм.распр.'!I16 * $B$4</f>
        <v>7247.5149348807026</v>
      </c>
      <c r="P15" s="2">
        <f>$B$2 + $B$3*E15 + 'Станд.норм.распр.'!J16 * $B$4</f>
        <v>7247.8807939037797</v>
      </c>
      <c r="Q15" s="2">
        <f>$B$2 + $B$3*E15 + 'Станд.норм.распр.'!K16 * $B$4</f>
        <v>7262.7373080027173</v>
      </c>
    </row>
    <row r="16" spans="1:17" x14ac:dyDescent="0.3">
      <c r="C16" s="4" t="s">
        <v>25</v>
      </c>
      <c r="D16" s="4" t="s">
        <v>5</v>
      </c>
      <c r="E16" s="4">
        <v>436</v>
      </c>
      <c r="F16" s="4" t="s">
        <v>243</v>
      </c>
      <c r="G16" s="4" t="s">
        <v>5</v>
      </c>
      <c r="H16" s="2">
        <f>$B$2 + $B$3*E16 + 'Станд.норм.распр.'!B17 * $B$4</f>
        <v>4808.1026837758691</v>
      </c>
      <c r="I16" s="2">
        <f>$B$2 + $B$3*E16 + 'Станд.норм.распр.'!C17 * $B$4</f>
        <v>4810.7537369128841</v>
      </c>
      <c r="J16" s="2">
        <f>$B$2 + $B$3*E16 + 'Станд.норм.распр.'!D17 * $B$4</f>
        <v>4807.9821325268858</v>
      </c>
      <c r="K16" s="2">
        <f>$B$2 + $B$3*E16 + 'Станд.норм.распр.'!E17 * $B$4</f>
        <v>4814.0489953789802</v>
      </c>
      <c r="L16" s="2">
        <f>$B$2 + $B$3*E16 + 'Станд.норм.распр.'!F17 * $B$4</f>
        <v>4800.867736414657</v>
      </c>
      <c r="M16" s="2">
        <f>$B$2 + $B$3*E16 + 'Станд.норм.распр.'!G17 * $B$4</f>
        <v>4810.1821160822146</v>
      </c>
      <c r="N16" s="2">
        <f>$B$2 + $B$3*E16 + 'Станд.норм.распр.'!H17 * $B$4</f>
        <v>4810.7530513812526</v>
      </c>
      <c r="O16" s="2">
        <f>$B$2 + $B$3*E16 + 'Станд.норм.распр.'!I17 * $B$4</f>
        <v>4809.2517882674292</v>
      </c>
      <c r="P16" s="2">
        <f>$B$2 + $B$3*E16 + 'Станд.норм.распр.'!J17 * $B$4</f>
        <v>4808.5419663062203</v>
      </c>
      <c r="Q16" s="2">
        <f>$B$2 + $B$3*E16 + 'Станд.норм.распр.'!K17 * $B$4</f>
        <v>4808.8002030476928</v>
      </c>
    </row>
    <row r="17" spans="3:17" x14ac:dyDescent="0.3">
      <c r="C17" s="4" t="s">
        <v>26</v>
      </c>
      <c r="D17" s="4" t="s">
        <v>5</v>
      </c>
      <c r="E17" s="4">
        <v>686</v>
      </c>
      <c r="F17" s="4" t="s">
        <v>244</v>
      </c>
      <c r="G17" s="4" t="s">
        <v>5</v>
      </c>
      <c r="H17" s="2">
        <f>$B$2 + $B$3*E17 + 'Станд.норм.распр.'!B18 * $B$4</f>
        <v>7557.9135895955551</v>
      </c>
      <c r="I17" s="2">
        <f>$B$2 + $B$3*E17 + 'Станд.норм.распр.'!C18 * $B$4</f>
        <v>7561.7876413949125</v>
      </c>
      <c r="J17" s="2">
        <f>$B$2 + $B$3*E17 + 'Станд.норм.распр.'!D18 * $B$4</f>
        <v>7568.8823207988753</v>
      </c>
      <c r="K17" s="2">
        <f>$B$2 + $B$3*E17 + 'Станд.норм.распр.'!E18 * $B$4</f>
        <v>7561.2254952252988</v>
      </c>
      <c r="L17" s="2">
        <f>$B$2 + $B$3*E17 + 'Станд.норм.распр.'!F18 * $B$4</f>
        <v>7565.1024221647822</v>
      </c>
      <c r="M17" s="2">
        <f>$B$2 + $B$3*E17 + 'Станд.норм.распр.'!G18 * $B$4</f>
        <v>7554.5095055409183</v>
      </c>
      <c r="N17" s="2">
        <f>$B$2 + $B$3*E17 + 'Станд.норм.распр.'!H18 * $B$4</f>
        <v>7549.7190033607185</v>
      </c>
      <c r="O17" s="2">
        <f>$B$2 + $B$3*E17 + 'Станд.норм.распр.'!I18 * $B$4</f>
        <v>7565.00650912727</v>
      </c>
      <c r="P17" s="2">
        <f>$B$2 + $B$3*E17 + 'Станд.норм.распр.'!J18 * $B$4</f>
        <v>7549.5880841904727</v>
      </c>
      <c r="Q17" s="2">
        <f>$B$2 + $B$3*E17 + 'Станд.норм.распр.'!K18 * $B$4</f>
        <v>7558.8675631357182</v>
      </c>
    </row>
    <row r="18" spans="3:17" x14ac:dyDescent="0.3">
      <c r="C18" s="4" t="s">
        <v>27</v>
      </c>
      <c r="D18" s="4" t="s">
        <v>5</v>
      </c>
      <c r="E18" s="4">
        <v>797</v>
      </c>
      <c r="F18" s="4" t="s">
        <v>245</v>
      </c>
      <c r="G18" s="4" t="s">
        <v>5</v>
      </c>
      <c r="H18" s="2">
        <f>$B$2 + $B$3*E18 + 'Станд.норм.распр.'!B19 * $B$4</f>
        <v>8788.882590580266</v>
      </c>
      <c r="I18" s="2">
        <f>$B$2 + $B$3*E18 + 'Станд.норм.распр.'!C19 * $B$4</f>
        <v>8782.8248647393193</v>
      </c>
      <c r="J18" s="2">
        <f>$B$2 + $B$3*E18 + 'Станд.норм.распр.'!D19 * $B$4</f>
        <v>8788.2255033956026</v>
      </c>
      <c r="K18" s="2">
        <f>$B$2 + $B$3*E18 + 'Станд.норм.распр.'!E19 * $B$4</f>
        <v>8786.350993887987</v>
      </c>
      <c r="L18" s="2">
        <f>$B$2 + $B$3*E18 + 'Станд.норм.распр.'!F19 * $B$4</f>
        <v>8764.2578922451066</v>
      </c>
      <c r="M18" s="2">
        <f>$B$2 + $B$3*E18 + 'Станд.норм.распр.'!G19 * $B$4</f>
        <v>8790.7765814643935</v>
      </c>
      <c r="N18" s="2">
        <f>$B$2 + $B$3*E18 + 'Станд.норм.распр.'!H19 * $B$4</f>
        <v>8775.5661826586584</v>
      </c>
      <c r="O18" s="2">
        <f>$B$2 + $B$3*E18 + 'Станд.норм.распр.'!I19 * $B$4</f>
        <v>8779.8543640938587</v>
      </c>
      <c r="P18" s="2">
        <f>$B$2 + $B$3*E18 + 'Станд.норм.распр.'!J19 * $B$4</f>
        <v>8773.0189384283731</v>
      </c>
      <c r="Q18" s="2">
        <f>$B$2 + $B$3*E18 + 'Станд.норм.распр.'!K19 * $B$4</f>
        <v>8784.7713039091614</v>
      </c>
    </row>
    <row r="19" spans="3:17" x14ac:dyDescent="0.3">
      <c r="C19" s="4" t="s">
        <v>28</v>
      </c>
      <c r="D19" s="4" t="s">
        <v>5</v>
      </c>
      <c r="E19" s="4">
        <v>464</v>
      </c>
      <c r="F19" s="4" t="s">
        <v>246</v>
      </c>
      <c r="G19" s="4" t="s">
        <v>5</v>
      </c>
      <c r="H19" s="2">
        <f>$B$2 + $B$3*E19 + 'Станд.норм.распр.'!B20 * $B$4</f>
        <v>5111.7470511213178</v>
      </c>
      <c r="I19" s="2">
        <f>$B$2 + $B$3*E19 + 'Станд.норм.распр.'!C20 * $B$4</f>
        <v>5119.1435486158007</v>
      </c>
      <c r="J19" s="2">
        <f>$B$2 + $B$3*E19 + 'Станд.норм.распр.'!D20 * $B$4</f>
        <v>5117.2020309491636</v>
      </c>
      <c r="K19" s="2">
        <f>$B$2 + $B$3*E19 + 'Станд.норм.распр.'!E20 * $B$4</f>
        <v>5121.1134084110818</v>
      </c>
      <c r="L19" s="2">
        <f>$B$2 + $B$3*E19 + 'Станд.норм.распр.'!F20 * $B$4</f>
        <v>5104.2197910260875</v>
      </c>
      <c r="M19" s="2">
        <f>$B$2 + $B$3*E19 + 'Станд.норм.распр.'!G20 * $B$4</f>
        <v>5118.3467357601039</v>
      </c>
      <c r="N19" s="2">
        <f>$B$2 + $B$3*E19 + 'Станд.норм.распр.'!H20 * $B$4</f>
        <v>5135.6877802005038</v>
      </c>
      <c r="O19" s="2">
        <f>$B$2 + $B$3*E19 + 'Станд.норм.распр.'!I20 * $B$4</f>
        <v>5116.9701882441295</v>
      </c>
      <c r="P19" s="2">
        <f>$B$2 + $B$3*E19 + 'Станд.норм.распр.'!J20 * $B$4</f>
        <v>5118.2241279162263</v>
      </c>
      <c r="Q19" s="2">
        <f>$B$2 + $B$3*E19 + 'Станд.норм.распр.'!K20 * $B$4</f>
        <v>5111.8047585601453</v>
      </c>
    </row>
    <row r="20" spans="3:17" x14ac:dyDescent="0.3">
      <c r="C20" s="4" t="s">
        <v>29</v>
      </c>
      <c r="D20" s="4" t="s">
        <v>5</v>
      </c>
      <c r="E20" s="4">
        <v>514</v>
      </c>
      <c r="F20" s="4" t="s">
        <v>247</v>
      </c>
      <c r="G20" s="4" t="s">
        <v>5</v>
      </c>
      <c r="H20" s="2">
        <f>$B$2 + $B$3*E20 + 'Станд.норм.распр.'!B21 * $B$4</f>
        <v>5661.276510394935</v>
      </c>
      <c r="I20" s="2">
        <f>$B$2 + $B$3*E20 + 'Станд.норм.распр.'!C21 * $B$4</f>
        <v>5653.2140035727643</v>
      </c>
      <c r="J20" s="2">
        <f>$B$2 + $B$3*E20 + 'Станд.норм.распр.'!D21 * $B$4</f>
        <v>5672.3747149902629</v>
      </c>
      <c r="K20" s="2">
        <f>$B$2 + $B$3*E20 + 'Станд.норм.распр.'!E21 * $B$4</f>
        <v>5669.6810258784972</v>
      </c>
      <c r="L20" s="2">
        <f>$B$2 + $B$3*E20 + 'Станд.норм.распр.'!F21 * $B$4</f>
        <v>5672.172800345259</v>
      </c>
      <c r="M20" s="2">
        <f>$B$2 + $B$3*E20 + 'Станд.норм.распр.'!G21 * $B$4</f>
        <v>5670.0842821868428</v>
      </c>
      <c r="N20" s="2">
        <f>$B$2 + $B$3*E20 + 'Станд.норм.распр.'!H21 * $B$4</f>
        <v>5666.3533254180511</v>
      </c>
      <c r="O20" s="2">
        <f>$B$2 + $B$3*E20 + 'Станд.норм.распр.'!I21 * $B$4</f>
        <v>5665.283504171719</v>
      </c>
      <c r="P20" s="2">
        <f>$B$2 + $B$3*E20 + 'Станд.норм.распр.'!J21 * $B$4</f>
        <v>5675.7890513239254</v>
      </c>
      <c r="Q20" s="2">
        <f>$B$2 + $B$3*E20 + 'Станд.норм.распр.'!K21 * $B$4</f>
        <v>5682.2765748023521</v>
      </c>
    </row>
    <row r="21" spans="3:17" x14ac:dyDescent="0.3">
      <c r="C21" s="4" t="s">
        <v>30</v>
      </c>
      <c r="D21" s="4" t="s">
        <v>5</v>
      </c>
      <c r="E21" s="4">
        <v>724</v>
      </c>
      <c r="F21" s="4" t="s">
        <v>248</v>
      </c>
      <c r="G21" s="4" t="s">
        <v>5</v>
      </c>
      <c r="H21" s="2">
        <f>$B$2 + $B$3*E21 + 'Станд.норм.распр.'!B22 * $B$4</f>
        <v>7973.7995942168054</v>
      </c>
      <c r="I21" s="2">
        <f>$B$2 + $B$3*E21 + 'Станд.норм.распр.'!C22 * $B$4</f>
        <v>7986.0311770034314</v>
      </c>
      <c r="J21" s="2">
        <f>$B$2 + $B$3*E21 + 'Станд.норм.распр.'!D22 * $B$4</f>
        <v>7972.5773629406176</v>
      </c>
      <c r="K21" s="2">
        <f>$B$2 + $B$3*E21 + 'Станд.норм.распр.'!E22 * $B$4</f>
        <v>7976.500793481071</v>
      </c>
      <c r="L21" s="2">
        <f>$B$2 + $B$3*E21 + 'Станд.норм.распр.'!F22 * $B$4</f>
        <v>7962.4760103315057</v>
      </c>
      <c r="M21" s="2">
        <f>$B$2 + $B$3*E21 + 'Станд.норм.распр.'!G22 * $B$4</f>
        <v>7985.7630625128222</v>
      </c>
      <c r="N21" s="2">
        <f>$B$2 + $B$3*E21 + 'Станд.норм.распр.'!H22 * $B$4</f>
        <v>7976.4588941970287</v>
      </c>
      <c r="O21" s="2">
        <f>$B$2 + $B$3*E21 + 'Станд.норм.распр.'!I22 * $B$4</f>
        <v>7977.2048037711356</v>
      </c>
      <c r="P21" s="2">
        <f>$B$2 + $B$3*E21 + 'Станд.норм.распр.'!J22 * $B$4</f>
        <v>7970.6531472738134</v>
      </c>
      <c r="Q21" s="2">
        <f>$B$2 + $B$3*E21 + 'Станд.норм.распр.'!K22 * $B$4</f>
        <v>7984.8433041633398</v>
      </c>
    </row>
    <row r="22" spans="3:17" x14ac:dyDescent="0.3">
      <c r="C22" s="4" t="s">
        <v>31</v>
      </c>
      <c r="D22" s="4" t="s">
        <v>5</v>
      </c>
      <c r="E22" s="4">
        <v>63</v>
      </c>
      <c r="F22" s="4" t="s">
        <v>249</v>
      </c>
      <c r="G22" s="4" t="s">
        <v>5</v>
      </c>
      <c r="H22" s="2">
        <f>$B$2 + $B$3*E22 + 'Станд.норм.распр.'!B23 * $B$4</f>
        <v>711.63300693809288</v>
      </c>
      <c r="I22" s="2">
        <f>$B$2 + $B$3*E22 + 'Станд.норм.распр.'!C23 * $B$4</f>
        <v>713.18564399701427</v>
      </c>
      <c r="J22" s="2">
        <f>$B$2 + $B$3*E22 + 'Станд.норм.распр.'!D23 * $B$4</f>
        <v>701.11778048852284</v>
      </c>
      <c r="K22" s="2">
        <f>$B$2 + $B$3*E22 + 'Станд.норм.распр.'!E23 * $B$4</f>
        <v>700.69171746366192</v>
      </c>
      <c r="L22" s="2">
        <f>$B$2 + $B$3*E22 + 'Станд.норм.распр.'!F23 * $B$4</f>
        <v>711.03147851102403</v>
      </c>
      <c r="M22" s="2">
        <f>$B$2 + $B$3*E22 + 'Станд.норм.распр.'!G23 * $B$4</f>
        <v>710.72100430467981</v>
      </c>
      <c r="N22" s="2">
        <f>$B$2 + $B$3*E22 + 'Станд.норм.распр.'!H23 * $B$4</f>
        <v>704.2726891428465</v>
      </c>
      <c r="O22" s="2">
        <f>$B$2 + $B$3*E22 + 'Станд.норм.распр.'!I23 * $B$4</f>
        <v>692.12298134301091</v>
      </c>
      <c r="P22" s="2">
        <f>$B$2 + $B$3*E22 + 'Станд.норм.распр.'!J23 * $B$4</f>
        <v>704.4674210534431</v>
      </c>
      <c r="Q22" s="2">
        <f>$B$2 + $B$3*E22 + 'Станд.норм.распр.'!K23 * $B$4</f>
        <v>697.9992561697436</v>
      </c>
    </row>
    <row r="23" spans="3:17" x14ac:dyDescent="0.3">
      <c r="C23" s="4" t="s">
        <v>32</v>
      </c>
      <c r="D23" s="4" t="s">
        <v>5</v>
      </c>
      <c r="E23" s="4">
        <v>298</v>
      </c>
      <c r="F23" s="4" t="s">
        <v>250</v>
      </c>
      <c r="G23" s="4" t="s">
        <v>5</v>
      </c>
      <c r="H23" s="2">
        <f>$B$2 + $B$3*E23 + 'Станд.норм.распр.'!B24 * $B$4</f>
        <v>3297.7212014326069</v>
      </c>
      <c r="I23" s="2">
        <f>$B$2 + $B$3*E23 + 'Станд.норм.распр.'!C24 * $B$4</f>
        <v>3296.284275973987</v>
      </c>
      <c r="J23" s="2">
        <f>$B$2 + $B$3*E23 + 'Станд.норм.распр.'!D24 * $B$4</f>
        <v>3278.7612996240496</v>
      </c>
      <c r="K23" s="2">
        <f>$B$2 + $B$3*E23 + 'Станд.норм.распр.'!E24 * $B$4</f>
        <v>3304.0820959637058</v>
      </c>
      <c r="L23" s="2">
        <f>$B$2 + $B$3*E23 + 'Станд.норм.распр.'!F24 * $B$4</f>
        <v>3294.2281210476649</v>
      </c>
      <c r="M23" s="2">
        <f>$B$2 + $B$3*E23 + 'Станд.норм.распр.'!G24 * $B$4</f>
        <v>3294.9400098355836</v>
      </c>
      <c r="N23" s="2">
        <f>$B$2 + $B$3*E23 + 'Станд.норм.распр.'!H24 * $B$4</f>
        <v>3288.7554770591669</v>
      </c>
      <c r="O23" s="2">
        <f>$B$2 + $B$3*E23 + 'Станд.норм.распр.'!I24 * $B$4</f>
        <v>3271.1778463986702</v>
      </c>
      <c r="P23" s="2">
        <f>$B$2 + $B$3*E23 + 'Станд.норм.распр.'!J24 * $B$4</f>
        <v>3290.3147688453755</v>
      </c>
      <c r="Q23" s="2">
        <f>$B$2 + $B$3*E23 + 'Станд.норм.распр.'!K24 * $B$4</f>
        <v>3302.848957572307</v>
      </c>
    </row>
    <row r="24" spans="3:17" x14ac:dyDescent="0.3">
      <c r="C24" s="4" t="s">
        <v>33</v>
      </c>
      <c r="D24" s="4" t="s">
        <v>5</v>
      </c>
      <c r="E24" s="4">
        <v>689</v>
      </c>
      <c r="F24" s="4" t="s">
        <v>251</v>
      </c>
      <c r="G24" s="4" t="s">
        <v>5</v>
      </c>
      <c r="H24" s="2">
        <f>$B$2 + $B$3*E24 + 'Станд.норм.распр.'!B25 * $B$4</f>
        <v>7585.5226916275278</v>
      </c>
      <c r="I24" s="2">
        <f>$B$2 + $B$3*E24 + 'Станд.норм.распр.'!C25 * $B$4</f>
        <v>7601.2163933257107</v>
      </c>
      <c r="J24" s="2">
        <f>$B$2 + $B$3*E24 + 'Станд.норм.распр.'!D25 * $B$4</f>
        <v>7602.3503649623017</v>
      </c>
      <c r="K24" s="2">
        <f>$B$2 + $B$3*E24 + 'Станд.норм.распр.'!E25 * $B$4</f>
        <v>7589.9690600210015</v>
      </c>
      <c r="L24" s="2">
        <f>$B$2 + $B$3*E24 + 'Станд.норм.распр.'!F25 * $B$4</f>
        <v>7606.0704074763344</v>
      </c>
      <c r="M24" s="2">
        <f>$B$2 + $B$3*E24 + 'Станд.норм.распр.'!G25 * $B$4</f>
        <v>7594.4043371265871</v>
      </c>
      <c r="N24" s="2">
        <f>$B$2 + $B$3*E24 + 'Станд.норм.распр.'!H25 * $B$4</f>
        <v>7599.5805306803668</v>
      </c>
      <c r="O24" s="2">
        <f>$B$2 + $B$3*E24 + 'Станд.норм.распр.'!I25 * $B$4</f>
        <v>7601.5608166955353</v>
      </c>
      <c r="P24" s="2">
        <f>$B$2 + $B$3*E24 + 'Станд.норм.распр.'!J25 * $B$4</f>
        <v>7593.9955832411069</v>
      </c>
      <c r="Q24" s="2">
        <f>$B$2 + $B$3*E24 + 'Станд.норм.распр.'!K25 * $B$4</f>
        <v>7580.2399848754867</v>
      </c>
    </row>
    <row r="25" spans="3:17" x14ac:dyDescent="0.3">
      <c r="C25" s="4" t="s">
        <v>34</v>
      </c>
      <c r="D25" s="4" t="s">
        <v>5</v>
      </c>
      <c r="E25" s="4">
        <v>278</v>
      </c>
      <c r="F25" s="4" t="s">
        <v>252</v>
      </c>
      <c r="G25" s="4" t="s">
        <v>5</v>
      </c>
      <c r="H25" s="2">
        <f>$B$2 + $B$3*E25 + 'Станд.норм.распр.'!B26 * $B$4</f>
        <v>3065.9453641673026</v>
      </c>
      <c r="I25" s="2">
        <f>$B$2 + $B$3*E25 + 'Станд.норм.распр.'!C26 * $B$4</f>
        <v>3074.9058969630569</v>
      </c>
      <c r="J25" s="2">
        <f>$B$2 + $B$3*E25 + 'Станд.норм.распр.'!D26 * $B$4</f>
        <v>3079.772046046739</v>
      </c>
      <c r="K25" s="2">
        <f>$B$2 + $B$3*E25 + 'Станд.норм.распр.'!E26 * $B$4</f>
        <v>3082.7752680378326</v>
      </c>
      <c r="L25" s="2">
        <f>$B$2 + $B$3*E25 + 'Станд.норм.распр.'!F26 * $B$4</f>
        <v>3075.5105256301904</v>
      </c>
      <c r="M25" s="2">
        <f>$B$2 + $B$3*E25 + 'Станд.норм.распр.'!G26 * $B$4</f>
        <v>3070.9958291735093</v>
      </c>
      <c r="N25" s="2">
        <f>$B$2 + $B$3*E25 + 'Станд.норм.распр.'!H26 * $B$4</f>
        <v>3081.6913299785228</v>
      </c>
      <c r="O25" s="2">
        <f>$B$2 + $B$3*E25 + 'Станд.норм.распр.'!I26 * $B$4</f>
        <v>3065.3436720311875</v>
      </c>
      <c r="P25" s="2">
        <f>$B$2 + $B$3*E25 + 'Станд.норм.распр.'!J26 * $B$4</f>
        <v>3071.9459555510839</v>
      </c>
      <c r="Q25" s="2">
        <f>$B$2 + $B$3*E25 + 'Станд.норм.распр.'!K26 * $B$4</f>
        <v>3083.1541521619074</v>
      </c>
    </row>
    <row r="26" spans="3:17" x14ac:dyDescent="0.3">
      <c r="C26" s="4" t="s">
        <v>35</v>
      </c>
      <c r="D26" s="4" t="s">
        <v>5</v>
      </c>
      <c r="E26" s="4">
        <v>701</v>
      </c>
      <c r="F26" s="4" t="s">
        <v>253</v>
      </c>
      <c r="G26" s="4" t="s">
        <v>5</v>
      </c>
      <c r="H26" s="2">
        <f>$B$2 + $B$3*E26 + 'Станд.норм.распр.'!B27 * $B$4</f>
        <v>7728.4682170735323</v>
      </c>
      <c r="I26" s="2">
        <f>$B$2 + $B$3*E26 + 'Станд.норм.распр.'!C27 * $B$4</f>
        <v>7713.3687996771187</v>
      </c>
      <c r="J26" s="2">
        <f>$B$2 + $B$3*E26 + 'Станд.норм.распр.'!D27 * $B$4</f>
        <v>7729.0215945773525</v>
      </c>
      <c r="K26" s="2">
        <f>$B$2 + $B$3*E26 + 'Станд.норм.распр.'!E27 * $B$4</f>
        <v>7720.8853777570766</v>
      </c>
      <c r="L26" s="2">
        <f>$B$2 + $B$3*E26 + 'Станд.норм.распр.'!F27 * $B$4</f>
        <v>7731.7061978370475</v>
      </c>
      <c r="M26" s="2">
        <f>$B$2 + $B$3*E26 + 'Станд.норм.распр.'!G27 * $B$4</f>
        <v>7726.5606690340064</v>
      </c>
      <c r="N26" s="2">
        <f>$B$2 + $B$3*E26 + 'Станд.норм.распр.'!H27 * $B$4</f>
        <v>7713.1511689636682</v>
      </c>
      <c r="O26" s="2">
        <f>$B$2 + $B$3*E26 + 'Станд.норм.распр.'!I27 * $B$4</f>
        <v>7711.2684944673674</v>
      </c>
      <c r="P26" s="2">
        <f>$B$2 + $B$3*E26 + 'Станд.норм.распр.'!J27 * $B$4</f>
        <v>7723.3812858772581</v>
      </c>
      <c r="Q26" s="2">
        <f>$B$2 + $B$3*E26 + 'Станд.норм.распр.'!K27 * $B$4</f>
        <v>7718.5856544652779</v>
      </c>
    </row>
    <row r="27" spans="3:17" x14ac:dyDescent="0.3">
      <c r="C27" s="4" t="s">
        <v>36</v>
      </c>
      <c r="D27" s="4" t="s">
        <v>5</v>
      </c>
      <c r="E27" s="4">
        <v>219</v>
      </c>
      <c r="F27" s="4" t="s">
        <v>254</v>
      </c>
      <c r="G27" s="4" t="s">
        <v>5</v>
      </c>
      <c r="H27" s="2">
        <f>$B$2 + $B$3*E27 + 'Станд.норм.распр.'!B28 * $B$4</f>
        <v>2427.7790354074095</v>
      </c>
      <c r="I27" s="2">
        <f>$B$2 + $B$3*E27 + 'Станд.норм.распр.'!C28 * $B$4</f>
        <v>2433.4051832749974</v>
      </c>
      <c r="J27" s="2">
        <f>$B$2 + $B$3*E27 + 'Станд.норм.распр.'!D28 * $B$4</f>
        <v>2423.4142657417106</v>
      </c>
      <c r="K27" s="2">
        <f>$B$2 + $B$3*E27 + 'Станд.норм.распр.'!E28 * $B$4</f>
        <v>2424.5438990885741</v>
      </c>
      <c r="L27" s="2">
        <f>$B$2 + $B$3*E27 + 'Станд.норм.распр.'!F28 * $B$4</f>
        <v>2428.5936925491551</v>
      </c>
      <c r="M27" s="2">
        <f>$B$2 + $B$3*E27 + 'Станд.норм.распр.'!G28 * $B$4</f>
        <v>2427.8728406909504</v>
      </c>
      <c r="N27" s="2">
        <f>$B$2 + $B$3*E27 + 'Станд.норм.распр.'!H28 * $B$4</f>
        <v>2423.647387423669</v>
      </c>
      <c r="O27" s="2">
        <f>$B$2 + $B$3*E27 + 'Станд.норм.распр.'!I28 * $B$4</f>
        <v>2413.0768170846277</v>
      </c>
      <c r="P27" s="2">
        <f>$B$2 + $B$3*E27 + 'Станд.норм.распр.'!J28 * $B$4</f>
        <v>2425.4753319394222</v>
      </c>
      <c r="Q27" s="2">
        <f>$B$2 + $B$3*E27 + 'Станд.норм.распр.'!K28 * $B$4</f>
        <v>2421.9722755344701</v>
      </c>
    </row>
    <row r="28" spans="3:17" x14ac:dyDescent="0.3">
      <c r="C28" s="4" t="s">
        <v>37</v>
      </c>
      <c r="D28" s="4" t="s">
        <v>5</v>
      </c>
      <c r="E28" s="4">
        <v>666</v>
      </c>
      <c r="F28" s="4" t="s">
        <v>255</v>
      </c>
      <c r="G28" s="4" t="s">
        <v>5</v>
      </c>
      <c r="H28" s="2">
        <f>$B$2 + $B$3*E28 + 'Станд.норм.распр.'!B29 * $B$4</f>
        <v>7343.814195679297</v>
      </c>
      <c r="I28" s="2">
        <f>$B$2 + $B$3*E28 + 'Станд.норм.распр.'!C29 * $B$4</f>
        <v>7349.1946776592522</v>
      </c>
      <c r="J28" s="2">
        <f>$B$2 + $B$3*E28 + 'Станд.норм.распр.'!D29 * $B$4</f>
        <v>7332.8436636764673</v>
      </c>
      <c r="K28" s="2">
        <f>$B$2 + $B$3*E28 + 'Станд.норм.распр.'!E29 * $B$4</f>
        <v>7326.5104564378271</v>
      </c>
      <c r="L28" s="2">
        <f>$B$2 + $B$3*E28 + 'Станд.норм.распр.'!F29 * $B$4</f>
        <v>7346.5347535382898</v>
      </c>
      <c r="M28" s="2">
        <f>$B$2 + $B$3*E28 + 'Станд.норм.распр.'!G29 * $B$4</f>
        <v>7347.186602033471</v>
      </c>
      <c r="N28" s="2">
        <f>$B$2 + $B$3*E28 + 'Станд.норм.распр.'!H29 * $B$4</f>
        <v>7335.4125246404146</v>
      </c>
      <c r="O28" s="2">
        <f>$B$2 + $B$3*E28 + 'Станд.норм.распр.'!I29 * $B$4</f>
        <v>7343.8134385249577</v>
      </c>
      <c r="P28" s="2">
        <f>$B$2 + $B$3*E28 + 'Станд.норм.распр.'!J29 * $B$4</f>
        <v>7335.6995270622429</v>
      </c>
      <c r="Q28" s="2">
        <f>$B$2 + $B$3*E28 + 'Станд.норм.распр.'!K29 * $B$4</f>
        <v>7344.4274702304392</v>
      </c>
    </row>
    <row r="29" spans="3:17" x14ac:dyDescent="0.3">
      <c r="C29" s="4" t="s">
        <v>38</v>
      </c>
      <c r="D29" s="4" t="s">
        <v>5</v>
      </c>
      <c r="E29" s="4">
        <v>92</v>
      </c>
      <c r="F29" s="4" t="s">
        <v>256</v>
      </c>
      <c r="G29" s="4" t="s">
        <v>5</v>
      </c>
      <c r="H29" s="2">
        <f>$B$2 + $B$3*E29 + 'Станд.норм.распр.'!B30 * $B$4</f>
        <v>1021.5561997921905</v>
      </c>
      <c r="I29" s="2">
        <f>$B$2 + $B$3*E29 + 'Станд.норм.распр.'!C30 * $B$4</f>
        <v>1036.3596516964899</v>
      </c>
      <c r="J29" s="2">
        <f>$B$2 + $B$3*E29 + 'Станд.норм.распр.'!D30 * $B$4</f>
        <v>1019.2783316580753</v>
      </c>
      <c r="K29" s="2">
        <f>$B$2 + $B$3*E29 + 'Станд.норм.распр.'!E30 * $B$4</f>
        <v>1028.6704117317422</v>
      </c>
      <c r="L29" s="2">
        <f>$B$2 + $B$3*E29 + 'Станд.норм.распр.'!F30 * $B$4</f>
        <v>1032.8589383772633</v>
      </c>
      <c r="M29" s="2">
        <f>$B$2 + $B$3*E29 + 'Станд.норм.распр.'!G30 * $B$4</f>
        <v>1033.3641444942041</v>
      </c>
      <c r="N29" s="2">
        <f>$B$2 + $B$3*E29 + 'Станд.норм.распр.'!H30 * $B$4</f>
        <v>1031.8396653912496</v>
      </c>
      <c r="O29" s="2">
        <f>$B$2 + $B$3*E29 + 'Станд.норм.распр.'!I30 * $B$4</f>
        <v>1041.6448140842258</v>
      </c>
      <c r="P29" s="2">
        <f>$B$2 + $B$3*E29 + 'Станд.норм.распр.'!J30 * $B$4</f>
        <v>1024.9604884831351</v>
      </c>
      <c r="Q29" s="2">
        <f>$B$2 + $B$3*E29 + 'Станд.норм.распр.'!K30 * $B$4</f>
        <v>1037.7126046461635</v>
      </c>
    </row>
    <row r="30" spans="3:17" x14ac:dyDescent="0.3">
      <c r="C30" s="4" t="s">
        <v>39</v>
      </c>
      <c r="D30" s="4" t="s">
        <v>5</v>
      </c>
      <c r="E30" s="4">
        <v>250</v>
      </c>
      <c r="F30" s="4" t="s">
        <v>257</v>
      </c>
      <c r="G30" s="4" t="s">
        <v>5</v>
      </c>
      <c r="H30" s="2">
        <f>$B$2 + $B$3*E30 + 'Станд.норм.распр.'!B31 * $B$4</f>
        <v>2766.5118185931206</v>
      </c>
      <c r="I30" s="2">
        <f>$B$2 + $B$3*E30 + 'Станд.норм.распр.'!C31 * $B$4</f>
        <v>2776.1519587992225</v>
      </c>
      <c r="J30" s="2">
        <f>$B$2 + $B$3*E30 + 'Станд.норм.распр.'!D31 * $B$4</f>
        <v>2790.3971014646813</v>
      </c>
      <c r="K30" s="2">
        <f>$B$2 + $B$3*E30 + 'Станд.норм.распр.'!E31 * $B$4</f>
        <v>2752.6396358306229</v>
      </c>
      <c r="L30" s="2">
        <f>$B$2 + $B$3*E30 + 'Станд.норм.распр.'!F31 * $B$4</f>
        <v>2751.185804320703</v>
      </c>
      <c r="M30" s="2">
        <f>$B$2 + $B$3*E30 + 'Станд.норм.распр.'!G31 * $B$4</f>
        <v>2760.1141406856768</v>
      </c>
      <c r="N30" s="2">
        <f>$B$2 + $B$3*E30 + 'Станд.норм.распр.'!H31 * $B$4</f>
        <v>2766.5548024495947</v>
      </c>
      <c r="O30" s="2">
        <f>$B$2 + $B$3*E30 + 'Станд.норм.распр.'!I31 * $B$4</f>
        <v>2766.0680238321802</v>
      </c>
      <c r="P30" s="2">
        <f>$B$2 + $B$3*E30 + 'Станд.норм.распр.'!J31 * $B$4</f>
        <v>2769.9497187976376</v>
      </c>
      <c r="Q30" s="2">
        <f>$B$2 + $B$3*E30 + 'Станд.норм.распр.'!K31 * $B$4</f>
        <v>2759.3921326323325</v>
      </c>
    </row>
    <row r="31" spans="3:17" x14ac:dyDescent="0.3">
      <c r="C31" s="4" t="s">
        <v>40</v>
      </c>
      <c r="D31" s="4" t="s">
        <v>5</v>
      </c>
      <c r="E31" s="4">
        <v>252</v>
      </c>
      <c r="F31" s="4" t="s">
        <v>258</v>
      </c>
      <c r="G31" s="4" t="s">
        <v>5</v>
      </c>
      <c r="H31" s="2">
        <f>$B$2 + $B$3*E31 + 'Станд.норм.распр.'!B32 * $B$4</f>
        <v>2806.6844742933754</v>
      </c>
      <c r="I31" s="2">
        <f>$B$2 + $B$3*E31 + 'Станд.норм.распр.'!C32 * $B$4</f>
        <v>2775.0967524152074</v>
      </c>
      <c r="J31" s="2">
        <f>$B$2 + $B$3*E31 + 'Станд.норм.распр.'!D32 * $B$4</f>
        <v>2784.011774096085</v>
      </c>
      <c r="K31" s="2">
        <f>$B$2 + $B$3*E31 + 'Станд.норм.распр.'!E32 * $B$4</f>
        <v>2798.116065590817</v>
      </c>
      <c r="L31" s="2">
        <f>$B$2 + $B$3*E31 + 'Станд.норм.распр.'!F32 * $B$4</f>
        <v>2788.6193754365522</v>
      </c>
      <c r="M31" s="2">
        <f>$B$2 + $B$3*E31 + 'Станд.норм.распр.'!G32 * $B$4</f>
        <v>2788.6150678422709</v>
      </c>
      <c r="N31" s="2">
        <f>$B$2 + $B$3*E31 + 'Станд.норм.распр.'!H32 * $B$4</f>
        <v>2786.6322034096229</v>
      </c>
      <c r="O31" s="2">
        <f>$B$2 + $B$3*E31 + 'Станд.норм.распр.'!I32 * $B$4</f>
        <v>2777.0884980636183</v>
      </c>
      <c r="P31" s="2">
        <f>$B$2 + $B$3*E31 + 'Станд.норм.распр.'!J32 * $B$4</f>
        <v>2793.1837575887912</v>
      </c>
      <c r="Q31" s="2">
        <f>$B$2 + $B$3*E31 + 'Станд.норм.распр.'!K32 * $B$4</f>
        <v>2773.1280078878044</v>
      </c>
    </row>
    <row r="32" spans="3:17" x14ac:dyDescent="0.3">
      <c r="C32" s="4" t="s">
        <v>41</v>
      </c>
      <c r="D32" s="4" t="s">
        <v>5</v>
      </c>
      <c r="E32" s="4">
        <v>110</v>
      </c>
      <c r="F32" s="4" t="s">
        <v>259</v>
      </c>
      <c r="G32" s="4" t="s">
        <v>5</v>
      </c>
      <c r="H32" s="2">
        <f>$B$2 + $B$3*E32 + 'Станд.норм.распр.'!B33 * $B$4</f>
        <v>1224.9030804903887</v>
      </c>
      <c r="I32" s="2">
        <f>$B$2 + $B$3*E32 + 'Станд.норм.распр.'!C33 * $B$4</f>
        <v>1208.7918388695689</v>
      </c>
      <c r="J32" s="2">
        <f>$B$2 + $B$3*E32 + 'Станд.норм.распр.'!D33 * $B$4</f>
        <v>1244.2984483621549</v>
      </c>
      <c r="K32" s="2">
        <f>$B$2 + $B$3*E32 + 'Станд.норм.распр.'!E33 * $B$4</f>
        <v>1215.0230553723522</v>
      </c>
      <c r="L32" s="2">
        <f>$B$2 + $B$3*E32 + 'Станд.норм.распр.'!F33 * $B$4</f>
        <v>1217.1382990325801</v>
      </c>
      <c r="M32" s="2">
        <f>$B$2 + $B$3*E32 + 'Станд.норм.распр.'!G33 * $B$4</f>
        <v>1233.7393990472483</v>
      </c>
      <c r="N32" s="2">
        <f>$B$2 + $B$3*E32 + 'Станд.норм.распр.'!H33 * $B$4</f>
        <v>1224.0664454091748</v>
      </c>
      <c r="O32" s="2">
        <f>$B$2 + $B$3*E32 + 'Станд.норм.распр.'!I33 * $B$4</f>
        <v>1224.15388650354</v>
      </c>
      <c r="P32" s="2">
        <f>$B$2 + $B$3*E32 + 'Станд.норм.распр.'!J33 * $B$4</f>
        <v>1219.7596287458728</v>
      </c>
      <c r="Q32" s="2">
        <f>$B$2 + $B$3*E32 + 'Станд.норм.распр.'!K33 * $B$4</f>
        <v>1199.6305987830274</v>
      </c>
    </row>
    <row r="33" spans="3:17" x14ac:dyDescent="0.3">
      <c r="C33" s="4" t="s">
        <v>42</v>
      </c>
      <c r="D33" s="4" t="s">
        <v>5</v>
      </c>
      <c r="E33" s="4">
        <v>185</v>
      </c>
      <c r="F33" s="4" t="s">
        <v>260</v>
      </c>
      <c r="G33" s="4" t="s">
        <v>5</v>
      </c>
      <c r="H33" s="2">
        <f>$B$2 + $B$3*E33 + 'Станд.норм.распр.'!B34 * $B$4</f>
        <v>2055.4900200413831</v>
      </c>
      <c r="I33" s="2">
        <f>$B$2 + $B$3*E33 + 'Станд.норм.распр.'!C34 * $B$4</f>
        <v>2054.5794907893869</v>
      </c>
      <c r="J33" s="2">
        <f>$B$2 + $B$3*E33 + 'Станд.норм.распр.'!D34 * $B$4</f>
        <v>2044.653934092843</v>
      </c>
      <c r="K33" s="2">
        <f>$B$2 + $B$3*E33 + 'Станд.норм.распр.'!E34 * $B$4</f>
        <v>2048.5381665485183</v>
      </c>
      <c r="L33" s="2">
        <f>$B$2 + $B$3*E33 + 'Станд.норм.распр.'!F34 * $B$4</f>
        <v>2052.0973342290963</v>
      </c>
      <c r="M33" s="2">
        <f>$B$2 + $B$3*E33 + 'Станд.норм.распр.'!G34 * $B$4</f>
        <v>2067.5198314284207</v>
      </c>
      <c r="N33" s="2">
        <f>$B$2 + $B$3*E33 + 'Станд.норм.распр.'!H34 * $B$4</f>
        <v>2018.1545963287354</v>
      </c>
      <c r="O33" s="2">
        <f>$B$2 + $B$3*E33 + 'Станд.норм.распр.'!I34 * $B$4</f>
        <v>2047.5670751811995</v>
      </c>
      <c r="P33" s="2">
        <f>$B$2 + $B$3*E33 + 'Станд.норм.распр.'!J34 * $B$4</f>
        <v>2032.2937373867026</v>
      </c>
      <c r="Q33" s="2">
        <f>$B$2 + $B$3*E33 + 'Станд.норм.распр.'!K34 * $B$4</f>
        <v>2048.7896543391107</v>
      </c>
    </row>
    <row r="34" spans="3:17" x14ac:dyDescent="0.3">
      <c r="C34" s="4" t="s">
        <v>43</v>
      </c>
      <c r="D34" s="4" t="s">
        <v>5</v>
      </c>
      <c r="E34" s="4">
        <v>281</v>
      </c>
      <c r="F34" s="4" t="s">
        <v>261</v>
      </c>
      <c r="G34" s="4" t="s">
        <v>5</v>
      </c>
      <c r="H34" s="2">
        <f>$B$2 + $B$3*E34 + 'Станд.норм.распр.'!B35 * $B$4</f>
        <v>3094.9300928518642</v>
      </c>
      <c r="I34" s="2">
        <f>$B$2 + $B$3*E34 + 'Станд.норм.распр.'!C35 * $B$4</f>
        <v>3103.4533076258231</v>
      </c>
      <c r="J34" s="2">
        <f>$B$2 + $B$3*E34 + 'Станд.норм.распр.'!D35 * $B$4</f>
        <v>3095.8504446466395</v>
      </c>
      <c r="K34" s="2">
        <f>$B$2 + $B$3*E34 + 'Станд.норм.распр.'!E35 * $B$4</f>
        <v>3107.0326933736214</v>
      </c>
      <c r="L34" s="2">
        <f>$B$2 + $B$3*E34 + 'Станд.норм.распр.'!F35 * $B$4</f>
        <v>3104.5243842931814</v>
      </c>
      <c r="M34" s="2">
        <f>$B$2 + $B$3*E34 + 'Станд.норм.распр.'!G35 * $B$4</f>
        <v>3096.104214132065</v>
      </c>
      <c r="N34" s="2">
        <f>$B$2 + $B$3*E34 + 'Станд.норм.распр.'!H35 * $B$4</f>
        <v>3120.9632691065781</v>
      </c>
      <c r="O34" s="2">
        <f>$B$2 + $B$3*E34 + 'Станд.норм.распр.'!I35 * $B$4</f>
        <v>3113.8220144789375</v>
      </c>
      <c r="P34" s="2">
        <f>$B$2 + $B$3*E34 + 'Станд.норм.распр.'!J35 * $B$4</f>
        <v>3108.2975299291138</v>
      </c>
      <c r="Q34" s="2">
        <f>$B$2 + $B$3*E34 + 'Станд.норм.распр.'!K35 * $B$4</f>
        <v>3110.5411624089174</v>
      </c>
    </row>
    <row r="35" spans="3:17" x14ac:dyDescent="0.3">
      <c r="C35" s="4" t="s">
        <v>44</v>
      </c>
      <c r="D35" s="4" t="s">
        <v>5</v>
      </c>
      <c r="E35" s="4">
        <v>315</v>
      </c>
      <c r="F35" s="4" t="s">
        <v>262</v>
      </c>
      <c r="G35" s="4" t="s">
        <v>5</v>
      </c>
      <c r="H35" s="2">
        <f>$B$2 + $B$3*E35 + 'Станд.норм.распр.'!B36 * $B$4</f>
        <v>3476.5761033965682</v>
      </c>
      <c r="I35" s="2">
        <f>$B$2 + $B$3*E35 + 'Станд.норм.распр.'!C36 * $B$4</f>
        <v>3491.1297352961847</v>
      </c>
      <c r="J35" s="2">
        <f>$B$2 + $B$3*E35 + 'Станд.норм.распр.'!D36 * $B$4</f>
        <v>3484.7946965625888</v>
      </c>
      <c r="K35" s="2">
        <f>$B$2 + $B$3*E35 + 'Станд.норм.распр.'!E36 * $B$4</f>
        <v>3484.9883336689381</v>
      </c>
      <c r="L35" s="2">
        <f>$B$2 + $B$3*E35 + 'Станд.норм.распр.'!F36 * $B$4</f>
        <v>3487.8131127995439</v>
      </c>
      <c r="M35" s="2">
        <f>$B$2 + $B$3*E35 + 'Станд.норм.распр.'!G36 * $B$4</f>
        <v>3469.7225469542027</v>
      </c>
      <c r="N35" s="2">
        <f>$B$2 + $B$3*E35 + 'Станд.норм.распр.'!H36 * $B$4</f>
        <v>3464.6306021683849</v>
      </c>
      <c r="O35" s="2">
        <f>$B$2 + $B$3*E35 + 'Станд.норм.распр.'!I36 * $B$4</f>
        <v>3474.1438985590357</v>
      </c>
      <c r="P35" s="2">
        <f>$B$2 + $B$3*E35 + 'Станд.норм.распр.'!J36 * $B$4</f>
        <v>3464.2484233997529</v>
      </c>
      <c r="Q35" s="2">
        <f>$B$2 + $B$3*E35 + 'Станд.норм.распр.'!K36 * $B$4</f>
        <v>3489.6633115137811</v>
      </c>
    </row>
    <row r="36" spans="3:17" x14ac:dyDescent="0.3">
      <c r="C36" s="4" t="s">
        <v>45</v>
      </c>
      <c r="D36" s="4" t="s">
        <v>5</v>
      </c>
      <c r="E36" s="4">
        <v>883</v>
      </c>
      <c r="F36" s="4" t="s">
        <v>263</v>
      </c>
      <c r="G36" s="4" t="s">
        <v>5</v>
      </c>
      <c r="H36" s="2">
        <f>$B$2 + $B$3*E36 + 'Станд.норм.распр.'!B37 * $B$4</f>
        <v>9728.3479188964993</v>
      </c>
      <c r="I36" s="2">
        <f>$B$2 + $B$3*E36 + 'Станд.норм.распр.'!C37 * $B$4</f>
        <v>9730.9426254261343</v>
      </c>
      <c r="J36" s="2">
        <f>$B$2 + $B$3*E36 + 'Станд.норм.распр.'!D37 * $B$4</f>
        <v>9726.291160293069</v>
      </c>
      <c r="K36" s="2">
        <f>$B$2 + $B$3*E36 + 'Станд.норм.распр.'!E37 * $B$4</f>
        <v>9719.9395971776103</v>
      </c>
      <c r="L36" s="2">
        <f>$B$2 + $B$3*E36 + 'Станд.норм.распр.'!F37 * $B$4</f>
        <v>9719.6857663012925</v>
      </c>
      <c r="M36" s="2">
        <f>$B$2 + $B$3*E36 + 'Станд.норм.распр.'!G37 * $B$4</f>
        <v>9729.5885060495057</v>
      </c>
      <c r="N36" s="2">
        <f>$B$2 + $B$3*E36 + 'Станд.норм.распр.'!H37 * $B$4</f>
        <v>9722.8639727992704</v>
      </c>
      <c r="O36" s="2">
        <f>$B$2 + $B$3*E36 + 'Станд.норм.распр.'!I37 * $B$4</f>
        <v>9733.6301140577707</v>
      </c>
      <c r="P36" s="2">
        <f>$B$2 + $B$3*E36 + 'Станд.норм.распр.'!J37 * $B$4</f>
        <v>9716.7871953180584</v>
      </c>
      <c r="Q36" s="2">
        <f>$B$2 + $B$3*E36 + 'Станд.норм.распр.'!K37 * $B$4</f>
        <v>9724.2359057665017</v>
      </c>
    </row>
    <row r="37" spans="3:17" x14ac:dyDescent="0.3">
      <c r="C37" s="4" t="s">
        <v>46</v>
      </c>
      <c r="D37" s="4" t="s">
        <v>5</v>
      </c>
      <c r="E37" s="4">
        <v>75</v>
      </c>
      <c r="F37" s="4" t="s">
        <v>264</v>
      </c>
      <c r="G37" s="4" t="s">
        <v>5</v>
      </c>
      <c r="H37" s="2">
        <f>$B$2 + $B$3*E37 + 'Станд.норм.распр.'!B38 * $B$4</f>
        <v>840.76797584572341</v>
      </c>
      <c r="I37" s="2">
        <f>$B$2 + $B$3*E37 + 'Станд.норм.распр.'!C38 * $B$4</f>
        <v>839.41702833186719</v>
      </c>
      <c r="J37" s="2">
        <f>$B$2 + $B$3*E37 + 'Станд.норм.распр.'!D38 * $B$4</f>
        <v>851.7525254356442</v>
      </c>
      <c r="K37" s="2">
        <f>$B$2 + $B$3*E37 + 'Станд.норм.распр.'!E38 * $B$4</f>
        <v>833.46882384290802</v>
      </c>
      <c r="L37" s="2">
        <f>$B$2 + $B$3*E37 + 'Станд.норм.распр.'!F38 * $B$4</f>
        <v>851.41937752638478</v>
      </c>
      <c r="M37" s="2">
        <f>$B$2 + $B$3*E37 + 'Станд.норм.распр.'!G38 * $B$4</f>
        <v>835.17601247337006</v>
      </c>
      <c r="N37" s="2">
        <f>$B$2 + $B$3*E37 + 'Станд.норм.распр.'!H38 * $B$4</f>
        <v>852.37838511972222</v>
      </c>
      <c r="O37" s="2">
        <f>$B$2 + $B$3*E37 + 'Станд.норм.распр.'!I38 * $B$4</f>
        <v>847.66968321133754</v>
      </c>
      <c r="P37" s="2">
        <f>$B$2 + $B$3*E37 + 'Станд.норм.распр.'!J38 * $B$4</f>
        <v>837.15474325259856</v>
      </c>
      <c r="Q37" s="2">
        <f>$B$2 + $B$3*E37 + 'Станд.норм.распр.'!K38 * $B$4</f>
        <v>847.87112719283323</v>
      </c>
    </row>
    <row r="38" spans="3:17" x14ac:dyDescent="0.3">
      <c r="C38" s="4" t="s">
        <v>47</v>
      </c>
      <c r="D38" s="4" t="s">
        <v>5</v>
      </c>
      <c r="E38" s="4">
        <v>763</v>
      </c>
      <c r="F38" s="4" t="s">
        <v>265</v>
      </c>
      <c r="G38" s="4" t="s">
        <v>5</v>
      </c>
      <c r="H38" s="2">
        <f>$B$2 + $B$3*E38 + 'Станд.норм.распр.'!B39 * $B$4</f>
        <v>8403.7510098031198</v>
      </c>
      <c r="I38" s="2">
        <f>$B$2 + $B$3*E38 + 'Станд.норм.распр.'!C39 * $B$4</f>
        <v>8423.009926184779</v>
      </c>
      <c r="J38" s="2">
        <f>$B$2 + $B$3*E38 + 'Станд.норм.распр.'!D39 * $B$4</f>
        <v>8417.0185843621148</v>
      </c>
      <c r="K38" s="2">
        <f>$B$2 + $B$3*E38 + 'Станд.норм.распр.'!E39 * $B$4</f>
        <v>8403.8111933412729</v>
      </c>
      <c r="L38" s="2">
        <f>$B$2 + $B$3*E38 + 'Станд.норм.распр.'!F39 * $B$4</f>
        <v>8403.6176483212621</v>
      </c>
      <c r="M38" s="2">
        <f>$B$2 + $B$3*E38 + 'Станд.норм.распр.'!G39 * $B$4</f>
        <v>8397.2568970355787</v>
      </c>
      <c r="N38" s="2">
        <f>$B$2 + $B$3*E38 + 'Станд.норм.распр.'!H39 * $B$4</f>
        <v>8399.6905547908973</v>
      </c>
      <c r="O38" s="2">
        <f>$B$2 + $B$3*E38 + 'Станд.норм.распр.'!I39 * $B$4</f>
        <v>8408.8002776869253</v>
      </c>
      <c r="P38" s="2">
        <f>$B$2 + $B$3*E38 + 'Станд.норм.распр.'!J39 * $B$4</f>
        <v>8399.4602775536187</v>
      </c>
      <c r="Q38" s="2">
        <f>$B$2 + $B$3*E38 + 'Станд.норм.распр.'!K39 * $B$4</f>
        <v>8411.8107744987647</v>
      </c>
    </row>
    <row r="39" spans="3:17" x14ac:dyDescent="0.3">
      <c r="C39" s="4" t="s">
        <v>48</v>
      </c>
      <c r="D39" s="4" t="s">
        <v>5</v>
      </c>
      <c r="E39" s="4">
        <v>438</v>
      </c>
      <c r="F39" s="4" t="s">
        <v>266</v>
      </c>
      <c r="G39" s="4" t="s">
        <v>5</v>
      </c>
      <c r="H39" s="2">
        <f>$B$2 + $B$3*E39 + 'Станд.норм.распр.'!B40 * $B$4</f>
        <v>4841.7159477263631</v>
      </c>
      <c r="I39" s="2">
        <f>$B$2 + $B$3*E39 + 'Станд.норм.распр.'!C40 * $B$4</f>
        <v>4818.6007829041337</v>
      </c>
      <c r="J39" s="2">
        <f>$B$2 + $B$3*E39 + 'Станд.норм.распр.'!D40 * $B$4</f>
        <v>4847.3418295667507</v>
      </c>
      <c r="K39" s="2">
        <f>$B$2 + $B$3*E39 + 'Станд.норм.распр.'!E40 * $B$4</f>
        <v>4845.1941715153516</v>
      </c>
      <c r="L39" s="2">
        <f>$B$2 + $B$3*E39 + 'Станд.норм.распр.'!F40 * $B$4</f>
        <v>4838.3479615164397</v>
      </c>
      <c r="M39" s="2">
        <f>$B$2 + $B$3*E39 + 'Станд.норм.распр.'!G40 * $B$4</f>
        <v>4830.4428200150433</v>
      </c>
      <c r="N39" s="2">
        <f>$B$2 + $B$3*E39 + 'Станд.норм.распр.'!H40 * $B$4</f>
        <v>4833.3138060239726</v>
      </c>
      <c r="O39" s="2">
        <f>$B$2 + $B$3*E39 + 'Станд.норм.распр.'!I40 * $B$4</f>
        <v>4841.0554021880962</v>
      </c>
      <c r="P39" s="2">
        <f>$B$2 + $B$3*E39 + 'Станд.норм.распр.'!J40 * $B$4</f>
        <v>4837.2502718972391</v>
      </c>
      <c r="Q39" s="2">
        <f>$B$2 + $B$3*E39 + 'Станд.норм.распр.'!K40 * $B$4</f>
        <v>4834.3668235371588</v>
      </c>
    </row>
    <row r="40" spans="3:17" x14ac:dyDescent="0.3">
      <c r="C40" s="4" t="s">
        <v>49</v>
      </c>
      <c r="D40" s="4" t="s">
        <v>5</v>
      </c>
      <c r="E40" s="4">
        <v>752</v>
      </c>
      <c r="F40" s="4" t="s">
        <v>267</v>
      </c>
      <c r="G40" s="4" t="s">
        <v>5</v>
      </c>
      <c r="H40" s="2">
        <f>$B$2 + $B$3*E40 + 'Станд.норм.распр.'!B41 * $B$4</f>
        <v>8280.3577881822421</v>
      </c>
      <c r="I40" s="2">
        <f>$B$2 + $B$3*E40 + 'Станд.норм.распр.'!C41 * $B$4</f>
        <v>8290.8012384468166</v>
      </c>
      <c r="J40" s="2">
        <f>$B$2 + $B$3*E40 + 'Станд.норм.распр.'!D41 * $B$4</f>
        <v>8297.3787200461957</v>
      </c>
      <c r="K40" s="2">
        <f>$B$2 + $B$3*E40 + 'Станд.норм.распр.'!E41 * $B$4</f>
        <v>8283.8470521000418</v>
      </c>
      <c r="L40" s="2">
        <f>$B$2 + $B$3*E40 + 'Станд.норм.распр.'!F41 * $B$4</f>
        <v>8290.2365240915387</v>
      </c>
      <c r="M40" s="2">
        <f>$B$2 + $B$3*E40 + 'Станд.норм.распр.'!G41 * $B$4</f>
        <v>8274.1462372286478</v>
      </c>
      <c r="N40" s="2">
        <f>$B$2 + $B$3*E40 + 'Станд.норм.распр.'!H41 * $B$4</f>
        <v>8262.2661173008382</v>
      </c>
      <c r="O40" s="2">
        <f>$B$2 + $B$3*E40 + 'Станд.норм.распр.'!I41 * $B$4</f>
        <v>8274.5982788327965</v>
      </c>
      <c r="P40" s="2">
        <f>$B$2 + $B$3*E40 + 'Станд.норм.распр.'!J41 * $B$4</f>
        <v>8287.8614332475408</v>
      </c>
      <c r="Q40" s="2">
        <f>$B$2 + $B$3*E40 + 'Станд.норм.распр.'!K41 * $B$4</f>
        <v>8279.953119883372</v>
      </c>
    </row>
    <row r="41" spans="3:17" x14ac:dyDescent="0.3">
      <c r="C41" s="4" t="s">
        <v>50</v>
      </c>
      <c r="D41" s="4" t="s">
        <v>5</v>
      </c>
      <c r="E41" s="4">
        <v>607</v>
      </c>
      <c r="F41" s="4" t="s">
        <v>268</v>
      </c>
      <c r="G41" s="4" t="s">
        <v>5</v>
      </c>
      <c r="H41" s="2">
        <f>$B$2 + $B$3*E41 + 'Станд.норм.распр.'!B42 * $B$4</f>
        <v>6691.0526733856532</v>
      </c>
      <c r="I41" s="2">
        <f>$B$2 + $B$3*E41 + 'Станд.норм.распр.'!C42 * $B$4</f>
        <v>6694.3513492780912</v>
      </c>
      <c r="J41" s="2">
        <f>$B$2 + $B$3*E41 + 'Станд.норм.распр.'!D42 * $B$4</f>
        <v>6668.5548349134624</v>
      </c>
      <c r="K41" s="2">
        <f>$B$2 + $B$3*E41 + 'Станд.норм.распр.'!E42 * $B$4</f>
        <v>6699.0794711720955</v>
      </c>
      <c r="L41" s="2">
        <f>$B$2 + $B$3*E41 + 'Станд.норм.распр.'!F42 * $B$4</f>
        <v>6680.151042427693</v>
      </c>
      <c r="M41" s="2">
        <f>$B$2 + $B$3*E41 + 'Станд.норм.распр.'!G42 * $B$4</f>
        <v>6675.481528372271</v>
      </c>
      <c r="N41" s="2">
        <f>$B$2 + $B$3*E41 + 'Станд.норм.распр.'!H42 * $B$4</f>
        <v>6692.591436102899</v>
      </c>
      <c r="O41" s="2">
        <f>$B$2 + $B$3*E41 + 'Станд.норм.распр.'!I42 * $B$4</f>
        <v>6709.5198314284207</v>
      </c>
      <c r="P41" s="2">
        <f>$B$2 + $B$3*E41 + 'Станд.норм.распр.'!J42 * $B$4</f>
        <v>6683.0494906291424</v>
      </c>
      <c r="Q41" s="2">
        <f>$B$2 + $B$3*E41 + 'Станд.норм.распр.'!K42 * $B$4</f>
        <v>6684.8743758320925</v>
      </c>
    </row>
    <row r="42" spans="3:17" x14ac:dyDescent="0.3">
      <c r="C42" s="4" t="s">
        <v>51</v>
      </c>
      <c r="D42" s="4" t="s">
        <v>5</v>
      </c>
      <c r="E42" s="4">
        <v>733</v>
      </c>
      <c r="F42" s="4" t="s">
        <v>269</v>
      </c>
      <c r="G42" s="4" t="s">
        <v>5</v>
      </c>
      <c r="H42" s="2">
        <f>$B$2 + $B$3*E42 + 'Станд.норм.распр.'!B43 * $B$4</f>
        <v>8074.6965523273975</v>
      </c>
      <c r="I42" s="2">
        <f>$B$2 + $B$3*E42 + 'Станд.норм.распр.'!C43 * $B$4</f>
        <v>8080.8466100704682</v>
      </c>
      <c r="J42" s="2">
        <f>$B$2 + $B$3*E42 + 'Станд.норм.распр.'!D43 * $B$4</f>
        <v>8082.1818619795085</v>
      </c>
      <c r="K42" s="2">
        <f>$B$2 + $B$3*E42 + 'Станд.норм.распр.'!E43 * $B$4</f>
        <v>8075.6729744705372</v>
      </c>
      <c r="L42" s="2">
        <f>$B$2 + $B$3*E42 + 'Станд.норм.распр.'!F43 * $B$4</f>
        <v>8087.2984654404281</v>
      </c>
      <c r="M42" s="2">
        <f>$B$2 + $B$3*E42 + 'Станд.норм.распр.'!G43 * $B$4</f>
        <v>8070.5776531856391</v>
      </c>
      <c r="N42" s="2">
        <f>$B$2 + $B$3*E42 + 'Станд.норм.распр.'!H43 * $B$4</f>
        <v>8076.7407462615229</v>
      </c>
      <c r="O42" s="2">
        <f>$B$2 + $B$3*E42 + 'Станд.норм.распр.'!I43 * $B$4</f>
        <v>8075.9223647389736</v>
      </c>
      <c r="P42" s="2">
        <f>$B$2 + $B$3*E42 + 'Станд.норм.распр.'!J43 * $B$4</f>
        <v>8082.5292597153457</v>
      </c>
      <c r="Q42" s="2">
        <f>$B$2 + $B$3*E42 + 'Станд.норм.распр.'!K43 * $B$4</f>
        <v>8100.0305886361748</v>
      </c>
    </row>
    <row r="43" spans="3:17" x14ac:dyDescent="0.3">
      <c r="C43" s="4" t="s">
        <v>52</v>
      </c>
      <c r="D43" s="4" t="s">
        <v>5</v>
      </c>
      <c r="E43" s="4">
        <v>526</v>
      </c>
      <c r="F43" s="4" t="s">
        <v>270</v>
      </c>
      <c r="G43" s="4" t="s">
        <v>5</v>
      </c>
      <c r="H43" s="2">
        <f>$B$2 + $B$3*E43 + 'Станд.норм.распр.'!B44 * $B$4</f>
        <v>5799.5822861365014</v>
      </c>
      <c r="I43" s="2">
        <f>$B$2 + $B$3*E43 + 'Станд.норм.распр.'!C44 * $B$4</f>
        <v>5797.8760899921326</v>
      </c>
      <c r="J43" s="2">
        <f>$B$2 + $B$3*E43 + 'Станд.норм.распр.'!D44 * $B$4</f>
        <v>5798.9431557878561</v>
      </c>
      <c r="K43" s="2">
        <f>$B$2 + $B$3*E43 + 'Станд.норм.распр.'!E44 * $B$4</f>
        <v>5796.9391728882329</v>
      </c>
      <c r="L43" s="2">
        <f>$B$2 + $B$3*E43 + 'Станд.норм.распр.'!F44 * $B$4</f>
        <v>5807.8233145814156</v>
      </c>
      <c r="M43" s="2">
        <f>$B$2 + $B$3*E43 + 'Станд.норм.распр.'!G44 * $B$4</f>
        <v>5799.5940015651286</v>
      </c>
      <c r="N43" s="2">
        <f>$B$2 + $B$3*E43 + 'Станд.норм.распр.'!H44 * $B$4</f>
        <v>5797.624622665171</v>
      </c>
      <c r="O43" s="2">
        <f>$B$2 + $B$3*E43 + 'Станд.норм.распр.'!I44 * $B$4</f>
        <v>5822.7342752623372</v>
      </c>
      <c r="P43" s="2">
        <f>$B$2 + $B$3*E43 + 'Станд.норм.распр.'!J44 * $B$4</f>
        <v>5808.896672943607</v>
      </c>
      <c r="Q43" s="2">
        <f>$B$2 + $B$3*E43 + 'Станд.норм.распр.'!K44 * $B$4</f>
        <v>5797.1838974488492</v>
      </c>
    </row>
    <row r="44" spans="3:17" x14ac:dyDescent="0.3">
      <c r="C44" s="4" t="s">
        <v>53</v>
      </c>
      <c r="D44" s="4" t="s">
        <v>5</v>
      </c>
      <c r="E44" s="4">
        <v>270</v>
      </c>
      <c r="F44" s="4" t="s">
        <v>271</v>
      </c>
      <c r="G44" s="4" t="s">
        <v>5</v>
      </c>
      <c r="H44" s="2">
        <f>$B$2 + $B$3*E44 + 'Станд.норм.распр.'!B45 * $B$4</f>
        <v>2987.0098112802079</v>
      </c>
      <c r="I44" s="2">
        <f>$B$2 + $B$3*E44 + 'Станд.норм.распр.'!C45 * $B$4</f>
        <v>2978.007368968596</v>
      </c>
      <c r="J44" s="2">
        <f>$B$2 + $B$3*E44 + 'Станд.норм.распр.'!D45 * $B$4</f>
        <v>2975.5756552582025</v>
      </c>
      <c r="K44" s="2">
        <f>$B$2 + $B$3*E44 + 'Станд.норм.распр.'!E45 * $B$4</f>
        <v>2985.5264333796949</v>
      </c>
      <c r="L44" s="2">
        <f>$B$2 + $B$3*E44 + 'Станд.норм.распр.'!F45 * $B$4</f>
        <v>2981.9086373969039</v>
      </c>
      <c r="M44" s="2">
        <f>$B$2 + $B$3*E44 + 'Станд.норм.распр.'!G45 * $B$4</f>
        <v>2995.522538443387</v>
      </c>
      <c r="N44" s="2">
        <f>$B$2 + $B$3*E44 + 'Станд.норм.распр.'!H45 * $B$4</f>
        <v>2987.532820755936</v>
      </c>
      <c r="O44" s="2">
        <f>$B$2 + $B$3*E44 + 'Станд.норм.распр.'!I45 * $B$4</f>
        <v>2975.5735270406003</v>
      </c>
      <c r="P44" s="2">
        <f>$B$2 + $B$3*E44 + 'Станд.норм.распр.'!J45 * $B$4</f>
        <v>2980.7201301842579</v>
      </c>
      <c r="Q44" s="2">
        <f>$B$2 + $B$3*E44 + 'Станд.норм.распр.'!K45 * $B$4</f>
        <v>2980.5377173793968</v>
      </c>
    </row>
    <row r="45" spans="3:17" x14ac:dyDescent="0.3">
      <c r="C45" s="4" t="s">
        <v>54</v>
      </c>
      <c r="D45" s="4" t="s">
        <v>5</v>
      </c>
      <c r="E45" s="4">
        <v>728</v>
      </c>
      <c r="F45" s="4" t="s">
        <v>272</v>
      </c>
      <c r="G45" s="4" t="s">
        <v>5</v>
      </c>
      <c r="H45" s="2">
        <f>$B$2 + $B$3*E45 + 'Станд.норм.распр.'!B46 * $B$4</f>
        <v>8018.4976495903102</v>
      </c>
      <c r="I45" s="2">
        <f>$B$2 + $B$3*E45 + 'Станд.норм.распр.'!C46 * $B$4</f>
        <v>8023.7441152522224</v>
      </c>
      <c r="J45" s="2">
        <f>$B$2 + $B$3*E45 + 'Станд.норм.распр.'!D46 * $B$4</f>
        <v>8011.2247319621674</v>
      </c>
      <c r="K45" s="2">
        <f>$B$2 + $B$3*E45 + 'Станд.норм.распр.'!E46 * $B$4</f>
        <v>8019.0265628235211</v>
      </c>
      <c r="L45" s="2">
        <f>$B$2 + $B$3*E45 + 'Станд.норм.распр.'!F46 * $B$4</f>
        <v>8032.0570559879998</v>
      </c>
      <c r="M45" s="2">
        <f>$B$2 + $B$3*E45 + 'Станд.норм.распр.'!G46 * $B$4</f>
        <v>8028.6111545038439</v>
      </c>
      <c r="N45" s="2">
        <f>$B$2 + $B$3*E45 + 'Станд.норм.распр.'!H46 * $B$4</f>
        <v>8023.053375626725</v>
      </c>
      <c r="O45" s="2">
        <f>$B$2 + $B$3*E45 + 'Станд.норм.распр.'!I46 * $B$4</f>
        <v>8026.0094187170325</v>
      </c>
      <c r="P45" s="2">
        <f>$B$2 + $B$3*E45 + 'Станд.норм.распр.'!J46 * $B$4</f>
        <v>8012.6437210484</v>
      </c>
      <c r="Q45" s="2">
        <f>$B$2 + $B$3*E45 + 'Станд.норм.распр.'!K46 * $B$4</f>
        <v>8024.4310281787621</v>
      </c>
    </row>
    <row r="46" spans="3:17" x14ac:dyDescent="0.3">
      <c r="C46" s="4" t="s">
        <v>55</v>
      </c>
      <c r="D46" s="4" t="s">
        <v>5</v>
      </c>
      <c r="E46" s="4">
        <v>643</v>
      </c>
      <c r="F46" s="4" t="s">
        <v>273</v>
      </c>
      <c r="G46" s="4" t="s">
        <v>5</v>
      </c>
      <c r="H46" s="2">
        <f>$B$2 + $B$3*E46 + 'Станд.норм.распр.'!B47 * $B$4</f>
        <v>7076.72402408981</v>
      </c>
      <c r="I46" s="2">
        <f>$B$2 + $B$3*E46 + 'Станд.норм.распр.'!C47 * $B$4</f>
        <v>7082.346549894748</v>
      </c>
      <c r="J46" s="2">
        <f>$B$2 + $B$3*E46 + 'Станд.норм.распр.'!D47 * $B$4</f>
        <v>7094.7990785030124</v>
      </c>
      <c r="K46" s="2">
        <f>$B$2 + $B$3*E46 + 'Станд.норм.распр.'!E47 * $B$4</f>
        <v>7080.6740982775518</v>
      </c>
      <c r="L46" s="2">
        <f>$B$2 + $B$3*E46 + 'Станд.норм.распр.'!F47 * $B$4</f>
        <v>7094.5700700108428</v>
      </c>
      <c r="M46" s="2">
        <f>$B$2 + $B$3*E46 + 'Станд.норм.распр.'!G47 * $B$4</f>
        <v>7088.6803301150503</v>
      </c>
      <c r="N46" s="2">
        <f>$B$2 + $B$3*E46 + 'Станд.норм.распр.'!H47 * $B$4</f>
        <v>7088.5648640783184</v>
      </c>
      <c r="O46" s="2">
        <f>$B$2 + $B$3*E46 + 'Станд.норм.распр.'!I47 * $B$4</f>
        <v>7079.2529195828247</v>
      </c>
      <c r="P46" s="2">
        <f>$B$2 + $B$3*E46 + 'Станд.норм.распр.'!J47 * $B$4</f>
        <v>7085.3714940299251</v>
      </c>
      <c r="Q46" s="2">
        <f>$B$2 + $B$3*E46 + 'Станд.норм.распр.'!K47 * $B$4</f>
        <v>7079.479820321023</v>
      </c>
    </row>
    <row r="47" spans="3:17" x14ac:dyDescent="0.3">
      <c r="C47" s="4" t="s">
        <v>56</v>
      </c>
      <c r="D47" s="4" t="s">
        <v>5</v>
      </c>
      <c r="E47" s="4">
        <v>847</v>
      </c>
      <c r="F47" s="4" t="s">
        <v>274</v>
      </c>
      <c r="G47" s="4" t="s">
        <v>5</v>
      </c>
      <c r="H47" s="2">
        <f>$B$2 + $B$3*E47 + 'Станд.норм.распр.'!B48 * $B$4</f>
        <v>9323.7849535197311</v>
      </c>
      <c r="I47" s="2">
        <f>$B$2 + $B$3*E47 + 'Станд.норм.распр.'!C48 * $B$4</f>
        <v>9335.1498094560666</v>
      </c>
      <c r="J47" s="2">
        <f>$B$2 + $B$3*E47 + 'Станд.норм.распр.'!D48 * $B$4</f>
        <v>9323.47689402182</v>
      </c>
      <c r="K47" s="2">
        <f>$B$2 + $B$3*E47 + 'Станд.норм.распр.'!E48 * $B$4</f>
        <v>9338.8332016073546</v>
      </c>
      <c r="L47" s="2">
        <f>$B$2 + $B$3*E47 + 'Станд.норм.распр.'!F48 * $B$4</f>
        <v>9334.3093169804488</v>
      </c>
      <c r="M47" s="2">
        <f>$B$2 + $B$3*E47 + 'Станд.норм.распр.'!G48 * $B$4</f>
        <v>9318.6603897064342</v>
      </c>
      <c r="N47" s="2">
        <f>$B$2 + $B$3*E47 + 'Станд.норм.распр.'!H48 * $B$4</f>
        <v>9338.5407047006593</v>
      </c>
      <c r="O47" s="2">
        <f>$B$2 + $B$3*E47 + 'Станд.норм.распр.'!I48 * $B$4</f>
        <v>9335.4772787077818</v>
      </c>
      <c r="P47" s="2">
        <f>$B$2 + $B$3*E47 + 'Станд.норм.распр.'!J48 * $B$4</f>
        <v>9337.231932729861</v>
      </c>
      <c r="Q47" s="2">
        <f>$B$2 + $B$3*E47 + 'Станд.норм.распр.'!K48 * $B$4</f>
        <v>9321.8192171460541</v>
      </c>
    </row>
    <row r="48" spans="3:17" x14ac:dyDescent="0.3">
      <c r="C48" s="4" t="s">
        <v>57</v>
      </c>
      <c r="D48" s="4" t="s">
        <v>5</v>
      </c>
      <c r="E48" s="4">
        <v>980</v>
      </c>
      <c r="F48" s="4" t="s">
        <v>275</v>
      </c>
      <c r="G48" s="4" t="s">
        <v>5</v>
      </c>
      <c r="H48" s="2">
        <f>$B$2 + $B$3*E48 + 'Станд.норм.распр.'!B49 * $B$4</f>
        <v>10795.421066144758</v>
      </c>
      <c r="I48" s="2">
        <f>$B$2 + $B$3*E48 + 'Станд.норм.распр.'!C49 * $B$4</f>
        <v>10793.042230456325</v>
      </c>
      <c r="J48" s="2">
        <f>$B$2 + $B$3*E48 + 'Станд.норм.распр.'!D49 * $B$4</f>
        <v>10781.232454259356</v>
      </c>
      <c r="K48" s="2">
        <f>$B$2 + $B$3*E48 + 'Станд.норм.распр.'!E49 * $B$4</f>
        <v>10774.451011651894</v>
      </c>
      <c r="L48" s="2">
        <f>$B$2 + $B$3*E48 + 'Станд.норм.распр.'!F49 * $B$4</f>
        <v>10811.640468286118</v>
      </c>
      <c r="M48" s="2">
        <f>$B$2 + $B$3*E48 + 'Станд.норм.распр.'!G49 * $B$4</f>
        <v>10800.9337329478</v>
      </c>
      <c r="N48" s="2">
        <f>$B$2 + $B$3*E48 + 'Станд.норм.распр.'!H49 * $B$4</f>
        <v>10793.744879914942</v>
      </c>
      <c r="O48" s="2">
        <f>$B$2 + $B$3*E48 + 'Станд.норм.распр.'!I49 * $B$4</f>
        <v>10785.912281984696</v>
      </c>
      <c r="P48" s="2">
        <f>$B$2 + $B$3*E48 + 'Станд.норм.распр.'!J49 * $B$4</f>
        <v>10791.882464413124</v>
      </c>
      <c r="Q48" s="2">
        <f>$B$2 + $B$3*E48 + 'Станд.норм.распр.'!K49 * $B$4</f>
        <v>10782.208242029941</v>
      </c>
    </row>
    <row r="49" spans="3:17" x14ac:dyDescent="0.3">
      <c r="C49" s="4" t="s">
        <v>58</v>
      </c>
      <c r="D49" s="4" t="s">
        <v>5</v>
      </c>
      <c r="E49" s="4">
        <v>337</v>
      </c>
      <c r="F49" s="4" t="s">
        <v>276</v>
      </c>
      <c r="G49" s="4" t="s">
        <v>5</v>
      </c>
      <c r="H49" s="2">
        <f>$B$2 + $B$3*E49 + 'Станд.норм.распр.'!B50 * $B$4</f>
        <v>3723.3939173843246</v>
      </c>
      <c r="I49" s="2">
        <f>$B$2 + $B$3*E49 + 'Станд.норм.распр.'!C50 * $B$4</f>
        <v>3713.9320870251104</v>
      </c>
      <c r="J49" s="2">
        <f>$B$2 + $B$3*E49 + 'Станд.норм.распр.'!D50 * $B$4</f>
        <v>3717.9741656968836</v>
      </c>
      <c r="K49" s="2">
        <f>$B$2 + $B$3*E49 + 'Станд.норм.распр.'!E50 * $B$4</f>
        <v>3730.0428375187912</v>
      </c>
      <c r="L49" s="2">
        <f>$B$2 + $B$3*E49 + 'Станд.норм.распр.'!F50 * $B$4</f>
        <v>3722.2894543033326</v>
      </c>
      <c r="M49" s="2">
        <f>$B$2 + $B$3*E49 + 'Станд.норм.распр.'!G50 * $B$4</f>
        <v>3720.6794372236764</v>
      </c>
      <c r="N49" s="2">
        <f>$B$2 + $B$3*E49 + 'Станд.норм.распр.'!H50 * $B$4</f>
        <v>3737.6373411047971</v>
      </c>
      <c r="O49" s="2">
        <f>$B$2 + $B$3*E49 + 'Станд.норм.распр.'!I50 * $B$4</f>
        <v>3726.7456554714008</v>
      </c>
      <c r="P49" s="2">
        <f>$B$2 + $B$3*E49 + 'Станд.норм.распр.'!J50 * $B$4</f>
        <v>3725.0215945773525</v>
      </c>
      <c r="Q49" s="2">
        <f>$B$2 + $B$3*E49 + 'Станд.норм.распр.'!K50 * $B$4</f>
        <v>3717.4016444664594</v>
      </c>
    </row>
    <row r="50" spans="3:17" x14ac:dyDescent="0.3">
      <c r="C50" s="4" t="s">
        <v>59</v>
      </c>
      <c r="D50" s="4" t="s">
        <v>5</v>
      </c>
      <c r="E50" s="4">
        <v>972</v>
      </c>
      <c r="F50" s="4" t="s">
        <v>277</v>
      </c>
      <c r="G50" s="4" t="s">
        <v>5</v>
      </c>
      <c r="H50" s="2">
        <f>$B$2 + $B$3*E50 + 'Станд.норм.распр.'!B51 * $B$4</f>
        <v>10721.262962733686</v>
      </c>
      <c r="I50" s="2">
        <f>$B$2 + $B$3*E50 + 'Станд.норм.распр.'!C51 * $B$4</f>
        <v>10710.804420541404</v>
      </c>
      <c r="J50" s="2">
        <f>$B$2 + $B$3*E50 + 'Станд.норм.распр.'!D51 * $B$4</f>
        <v>10719.650469554705</v>
      </c>
      <c r="K50" s="2">
        <f>$B$2 + $B$3*E50 + 'Станд.норм.распр.'!E51 * $B$4</f>
        <v>10705.915906846523</v>
      </c>
      <c r="L50" s="2">
        <f>$B$2 + $B$3*E50 + 'Станд.норм.распр.'!F51 * $B$4</f>
        <v>10693.95846295252</v>
      </c>
      <c r="M50" s="2">
        <f>$B$2 + $B$3*E50 + 'Станд.норм.распр.'!G51 * $B$4</f>
        <v>10693.519681781123</v>
      </c>
      <c r="N50" s="2">
        <f>$B$2 + $B$3*E50 + 'Станд.норм.распр.'!H51 * $B$4</f>
        <v>10701.904480556419</v>
      </c>
      <c r="O50" s="2">
        <f>$B$2 + $B$3*E50 + 'Станд.норм.распр.'!I51 * $B$4</f>
        <v>10706.674317561788</v>
      </c>
      <c r="P50" s="2">
        <f>$B$2 + $B$3*E50 + 'Станд.норм.распр.'!J51 * $B$4</f>
        <v>10702.6700454479</v>
      </c>
      <c r="Q50" s="2">
        <f>$B$2 + $B$3*E50 + 'Станд.норм.распр.'!K51 * $B$4</f>
        <v>10705.4899030753</v>
      </c>
    </row>
    <row r="51" spans="3:17" x14ac:dyDescent="0.3">
      <c r="C51" s="4" t="s">
        <v>60</v>
      </c>
      <c r="D51" s="4" t="s">
        <v>5</v>
      </c>
      <c r="E51" s="4">
        <v>174</v>
      </c>
      <c r="F51" s="4" t="s">
        <v>278</v>
      </c>
      <c r="G51" s="4" t="s">
        <v>5</v>
      </c>
      <c r="H51" s="2">
        <f>$B$2 + $B$3*E51 + 'Станд.норм.распр.'!B52 * $B$4</f>
        <v>1932.1935095396184</v>
      </c>
      <c r="I51" s="2">
        <f>$B$2 + $B$3*E51 + 'Станд.норм.распр.'!C52 * $B$4</f>
        <v>1922.7423816593073</v>
      </c>
      <c r="J51" s="2">
        <f>$B$2 + $B$3*E51 + 'Станд.норм.распр.'!D52 * $B$4</f>
        <v>1936.5857413978374</v>
      </c>
      <c r="K51" s="2">
        <f>$B$2 + $B$3*E51 + 'Станд.норм.распр.'!E52 * $B$4</f>
        <v>1918.6413677308592</v>
      </c>
      <c r="L51" s="2">
        <f>$B$2 + $B$3*E51 + 'Станд.норм.распр.'!F52 * $B$4</f>
        <v>1917.5934661253705</v>
      </c>
      <c r="M51" s="2">
        <f>$B$2 + $B$3*E51 + 'Станд.норм.распр.'!G52 * $B$4</f>
        <v>1925.5625462411699</v>
      </c>
      <c r="N51" s="2">
        <f>$B$2 + $B$3*E51 + 'Станд.норм.распр.'!H52 * $B$4</f>
        <v>1913.6576141610276</v>
      </c>
      <c r="O51" s="2">
        <f>$B$2 + $B$3*E51 + 'Станд.норм.распр.'!I52 * $B$4</f>
        <v>1930.6402176445117</v>
      </c>
      <c r="P51" s="2">
        <f>$B$2 + $B$3*E51 + 'Станд.норм.распр.'!J52 * $B$4</f>
        <v>1934.0330743053928</v>
      </c>
      <c r="Q51" s="2">
        <f>$B$2 + $B$3*E51 + 'Станд.норм.распр.'!K52 * $B$4</f>
        <v>1931.0214755497582</v>
      </c>
    </row>
    <row r="52" spans="3:17" x14ac:dyDescent="0.3">
      <c r="C52" s="4" t="s">
        <v>61</v>
      </c>
      <c r="D52" s="4" t="s">
        <v>5</v>
      </c>
      <c r="E52" s="4">
        <v>227</v>
      </c>
      <c r="F52" s="4" t="s">
        <v>279</v>
      </c>
      <c r="G52" s="4" t="s">
        <v>5</v>
      </c>
      <c r="H52" s="2">
        <f>$B$2 + $B$3*E52 + 'Станд.норм.распр.'!B53 * $B$4</f>
        <v>2497.5903464524308</v>
      </c>
      <c r="I52" s="2">
        <f>$B$2 + $B$3*E52 + 'Станд.норм.распр.'!C53 * $B$4</f>
        <v>2526.8096281666076</v>
      </c>
      <c r="J52" s="2">
        <f>$B$2 + $B$3*E52 + 'Станд.норм.распр.'!D53 * $B$4</f>
        <v>2500.8887767812994</v>
      </c>
      <c r="K52" s="2">
        <f>$B$2 + $B$3*E52 + 'Станд.норм.распр.'!E53 * $B$4</f>
        <v>2515.9487402975501</v>
      </c>
      <c r="L52" s="2">
        <f>$B$2 + $B$3*E52 + 'Станд.норм.распр.'!F53 * $B$4</f>
        <v>2503.6059786048427</v>
      </c>
      <c r="M52" s="2">
        <f>$B$2 + $B$3*E52 + 'Станд.норм.распр.'!G53 * $B$4</f>
        <v>2523.019640962535</v>
      </c>
      <c r="N52" s="2">
        <f>$B$2 + $B$3*E52 + 'Станд.норм.распр.'!H53 * $B$4</f>
        <v>2508.9333881583443</v>
      </c>
      <c r="O52" s="2">
        <f>$B$2 + $B$3*E52 + 'Станд.норм.распр.'!I53 * $B$4</f>
        <v>2492.4283546584193</v>
      </c>
      <c r="P52" s="2">
        <f>$B$2 + $B$3*E52 + 'Станд.норм.распр.'!J53 * $B$4</f>
        <v>2510.239346379909</v>
      </c>
      <c r="Q52" s="2">
        <f>$B$2 + $B$3*E52 + 'Станд.норм.распр.'!K53 * $B$4</f>
        <v>2509.2285044097807</v>
      </c>
    </row>
    <row r="53" spans="3:17" x14ac:dyDescent="0.3">
      <c r="C53" s="4" t="s">
        <v>62</v>
      </c>
      <c r="D53" s="4" t="s">
        <v>5</v>
      </c>
      <c r="E53" s="4">
        <v>271</v>
      </c>
      <c r="F53" s="4" t="s">
        <v>280</v>
      </c>
      <c r="G53" s="4" t="s">
        <v>5</v>
      </c>
      <c r="H53" s="2">
        <f>$B$2 + $B$3*E53 + 'Станд.норм.распр.'!B54 * $B$4</f>
        <v>2980.8456749279867</v>
      </c>
      <c r="I53" s="2">
        <f>$B$2 + $B$3*E53 + 'Станд.норм.распр.'!C54 * $B$4</f>
        <v>2997.7359567411622</v>
      </c>
      <c r="J53" s="2">
        <f>$B$2 + $B$3*E53 + 'Станд.норм.распр.'!D54 * $B$4</f>
        <v>2994.1418781064567</v>
      </c>
      <c r="K53" s="2">
        <f>$B$2 + $B$3*E53 + 'Станд.норм.распр.'!E54 * $B$4</f>
        <v>3006.0964856503415</v>
      </c>
      <c r="L53" s="2">
        <f>$B$2 + $B$3*E53 + 'Станд.норм.распр.'!F54 * $B$4</f>
        <v>2998.8111772937555</v>
      </c>
      <c r="M53" s="2">
        <f>$B$2 + $B$3*E53 + 'Станд.норм.распр.'!G54 * $B$4</f>
        <v>2989.3544423786079</v>
      </c>
      <c r="N53" s="2">
        <f>$B$2 + $B$3*E53 + 'Станд.норм.распр.'!H54 * $B$4</f>
        <v>2991.68184273105</v>
      </c>
      <c r="O53" s="2">
        <f>$B$2 + $B$3*E53 + 'Станд.норм.распр.'!I54 * $B$4</f>
        <v>2987.5333736428001</v>
      </c>
      <c r="P53" s="2">
        <f>$B$2 + $B$3*E53 + 'Станд.норм.распр.'!J54 * $B$4</f>
        <v>3001.9773614086444</v>
      </c>
      <c r="Q53" s="2">
        <f>$B$2 + $B$3*E53 + 'Станд.норм.распр.'!K54 * $B$4</f>
        <v>2990.250813890365</v>
      </c>
    </row>
    <row r="54" spans="3:17" x14ac:dyDescent="0.3">
      <c r="C54" s="4" t="s">
        <v>63</v>
      </c>
      <c r="D54" s="4" t="s">
        <v>5</v>
      </c>
      <c r="E54" s="4">
        <v>323</v>
      </c>
      <c r="F54" s="4" t="s">
        <v>281</v>
      </c>
      <c r="G54" s="4" t="s">
        <v>5</v>
      </c>
      <c r="H54" s="2">
        <f>$B$2 + $B$3*E54 + 'Станд.норм.распр.'!B55 * $B$4</f>
        <v>3569.1976097741572</v>
      </c>
      <c r="I54" s="2">
        <f>$B$2 + $B$3*E54 + 'Станд.норм.распр.'!C55 * $B$4</f>
        <v>3560.7540496830479</v>
      </c>
      <c r="J54" s="2">
        <f>$B$2 + $B$3*E54 + 'Станд.норм.распр.'!D55 * $B$4</f>
        <v>3571.8911761041381</v>
      </c>
      <c r="K54" s="2">
        <f>$B$2 + $B$3*E54 + 'Станд.норм.распр.'!E55 * $B$4</f>
        <v>3569.5992699193012</v>
      </c>
      <c r="L54" s="2">
        <f>$B$2 + $B$3*E54 + 'Станд.норм.распр.'!F55 * $B$4</f>
        <v>3580.1921251522726</v>
      </c>
      <c r="M54" s="2">
        <f>$B$2 + $B$3*E54 + 'Станд.норм.распр.'!G55 * $B$4</f>
        <v>3560.8995256343333</v>
      </c>
      <c r="N54" s="2">
        <f>$B$2 + $B$3*E54 + 'Станд.норм.распр.'!H55 * $B$4</f>
        <v>3551.9446612643078</v>
      </c>
      <c r="O54" s="2">
        <f>$B$2 + $B$3*E54 + 'Станд.норм.распр.'!I55 * $B$4</f>
        <v>3575.4993234850117</v>
      </c>
      <c r="P54" s="2">
        <f>$B$2 + $B$3*E54 + 'Станд.норм.распр.'!J55 * $B$4</f>
        <v>3566.1480990502168</v>
      </c>
      <c r="Q54" s="2">
        <f>$B$2 + $B$3*E54 + 'Станд.норм.распр.'!K55 * $B$4</f>
        <v>3561.9597054182959</v>
      </c>
    </row>
    <row r="55" spans="3:17" x14ac:dyDescent="0.3">
      <c r="C55" s="4" t="s">
        <v>64</v>
      </c>
      <c r="D55" s="4" t="s">
        <v>5</v>
      </c>
      <c r="E55" s="4">
        <v>383</v>
      </c>
      <c r="F55" s="4" t="s">
        <v>282</v>
      </c>
      <c r="G55" s="4" t="s">
        <v>5</v>
      </c>
      <c r="H55" s="2">
        <f>$B$2 + $B$3*E55 + 'Станд.норм.распр.'!B56 * $B$4</f>
        <v>4209.9460193723207</v>
      </c>
      <c r="I55" s="2">
        <f>$B$2 + $B$3*E55 + 'Станд.норм.распр.'!C56 * $B$4</f>
        <v>4241.5801732287509</v>
      </c>
      <c r="J55" s="2">
        <f>$B$2 + $B$3*E55 + 'Станд.норм.распр.'!D56 * $B$4</f>
        <v>4240.9722806125064</v>
      </c>
      <c r="K55" s="2">
        <f>$B$2 + $B$3*E55 + 'Станд.норм.распр.'!E56 * $B$4</f>
        <v>4228.777808620318</v>
      </c>
      <c r="L55" s="2">
        <f>$B$2 + $B$3*E55 + 'Станд.норм.распр.'!F56 * $B$4</f>
        <v>4226.1266633969644</v>
      </c>
      <c r="M55" s="2">
        <f>$B$2 + $B$3*E55 + 'Станд.норм.распр.'!G56 * $B$4</f>
        <v>4223.5828908443655</v>
      </c>
      <c r="N55" s="2">
        <f>$B$2 + $B$3*E55 + 'Станд.норм.распр.'!H56 * $B$4</f>
        <v>4219.7354724604811</v>
      </c>
      <c r="O55" s="2">
        <f>$B$2 + $B$3*E55 + 'Станд.норм.распр.'!I56 * $B$4</f>
        <v>4235.7300918494293</v>
      </c>
      <c r="P55" s="2">
        <f>$B$2 + $B$3*E55 + 'Станд.норм.распр.'!J56 * $B$4</f>
        <v>4226.1889035300119</v>
      </c>
      <c r="Q55" s="2">
        <f>$B$2 + $B$3*E55 + 'Станд.норм.распр.'!K56 * $B$4</f>
        <v>4215.8665979597135</v>
      </c>
    </row>
    <row r="56" spans="3:17" x14ac:dyDescent="0.3">
      <c r="C56" s="4" t="s">
        <v>65</v>
      </c>
      <c r="D56" s="4" t="s">
        <v>5</v>
      </c>
      <c r="E56" s="4">
        <v>294</v>
      </c>
      <c r="F56" s="4" t="s">
        <v>283</v>
      </c>
      <c r="G56" s="4" t="s">
        <v>5</v>
      </c>
      <c r="H56" s="2">
        <f>$B$2 + $B$3*E56 + 'Станд.норм.распр.'!B57 * $B$4</f>
        <v>3245.0381963976251</v>
      </c>
      <c r="I56" s="2">
        <f>$B$2 + $B$3*E56 + 'Станд.норм.распр.'!C57 * $B$4</f>
        <v>3247.2193124853657</v>
      </c>
      <c r="J56" s="2">
        <f>$B$2 + $B$3*E56 + 'Станд.норм.распр.'!D57 * $B$4</f>
        <v>3255.2721604738035</v>
      </c>
      <c r="K56" s="2">
        <f>$B$2 + $B$3*E56 + 'Станд.норм.распр.'!E57 * $B$4</f>
        <v>3264.36746674194</v>
      </c>
      <c r="L56" s="2">
        <f>$B$2 + $B$3*E56 + 'Станд.норм.распр.'!F57 * $B$4</f>
        <v>3251.3875289773277</v>
      </c>
      <c r="M56" s="2">
        <f>$B$2 + $B$3*E56 + 'Станд.норм.распр.'!G57 * $B$4</f>
        <v>3254.028769803379</v>
      </c>
      <c r="N56" s="2">
        <f>$B$2 + $B$3*E56 + 'Станд.норм.распр.'!H57 * $B$4</f>
        <v>3247.6097442817409</v>
      </c>
      <c r="O56" s="2">
        <f>$B$2 + $B$3*E56 + 'Станд.норм.распр.'!I57 * $B$4</f>
        <v>3247.1183653946791</v>
      </c>
      <c r="P56" s="2">
        <f>$B$2 + $B$3*E56 + 'Станд.норм.распр.'!J57 * $B$4</f>
        <v>3242.7500279176747</v>
      </c>
      <c r="Q56" s="2">
        <f>$B$2 + $B$3*E56 + 'Станд.норм.распр.'!K57 * $B$4</f>
        <v>3257.3032576842234</v>
      </c>
    </row>
    <row r="57" spans="3:17" x14ac:dyDescent="0.3">
      <c r="C57" s="4" t="s">
        <v>66</v>
      </c>
      <c r="D57" s="4" t="s">
        <v>5</v>
      </c>
      <c r="E57" s="4">
        <v>331</v>
      </c>
      <c r="F57" s="4" t="s">
        <v>284</v>
      </c>
      <c r="G57" s="4" t="s">
        <v>5</v>
      </c>
      <c r="H57" s="2">
        <f>$B$2 + $B$3*E57 + 'Станд.норм.распр.'!B58 * $B$4</f>
        <v>3656.6257126844721</v>
      </c>
      <c r="I57" s="2">
        <f>$B$2 + $B$3*E57 + 'Станд.норм.распр.'!C58 * $B$4</f>
        <v>3653.8377066983958</v>
      </c>
      <c r="J57" s="2">
        <f>$B$2 + $B$3*E57 + 'Станд.норм.распр.'!D58 * $B$4</f>
        <v>3660.6791282077029</v>
      </c>
      <c r="K57" s="2">
        <f>$B$2 + $B$3*E57 + 'Станд.норм.распр.'!E58 * $B$4</f>
        <v>3653.3791883551021</v>
      </c>
      <c r="L57" s="2">
        <f>$B$2 + $B$3*E57 + 'Станд.норм.распр.'!F58 * $B$4</f>
        <v>3669.8554499901365</v>
      </c>
      <c r="M57" s="2">
        <f>$B$2 + $B$3*E57 + 'Станд.норм.распр.'!G58 * $B$4</f>
        <v>3651.1805349357746</v>
      </c>
      <c r="N57" s="2">
        <f>$B$2 + $B$3*E57 + 'Станд.норм.распр.'!H58 * $B$4</f>
        <v>3646.6437172942096</v>
      </c>
      <c r="O57" s="2">
        <f>$B$2 + $B$3*E57 + 'Станд.норм.распр.'!I58 * $B$4</f>
        <v>3650.0848609842069</v>
      </c>
      <c r="P57" s="2">
        <f>$B$2 + $B$3*E57 + 'Станд.норм.распр.'!J58 * $B$4</f>
        <v>3661.873672191432</v>
      </c>
      <c r="Q57" s="2">
        <f>$B$2 + $B$3*E57 + 'Станд.норм.распр.'!K58 * $B$4</f>
        <v>3654.3098026607186</v>
      </c>
    </row>
    <row r="58" spans="3:17" x14ac:dyDescent="0.3">
      <c r="C58" s="4" t="s">
        <v>67</v>
      </c>
      <c r="D58" s="4" t="s">
        <v>5</v>
      </c>
      <c r="E58" s="4">
        <v>908</v>
      </c>
      <c r="F58" s="4" t="s">
        <v>285</v>
      </c>
      <c r="G58" s="4" t="s">
        <v>5</v>
      </c>
      <c r="H58" s="2">
        <f>$B$2 + $B$3*E58 + 'Станд.норм.распр.'!B59 * $B$4</f>
        <v>9998.5814072311332</v>
      </c>
      <c r="I58" s="2">
        <f>$B$2 + $B$3*E58 + 'Станд.норм.распр.'!C59 * $B$4</f>
        <v>9991.2865116635221</v>
      </c>
      <c r="J58" s="2">
        <f>$B$2 + $B$3*E58 + 'Станд.норм.распр.'!D59 * $B$4</f>
        <v>10001.143955164982</v>
      </c>
      <c r="K58" s="2">
        <f>$B$2 + $B$3*E58 + 'Станд.норм.распр.'!E59 * $B$4</f>
        <v>9996.226462831648</v>
      </c>
      <c r="L58" s="2">
        <f>$B$2 + $B$3*E58 + 'Станд.норм.распр.'!F59 * $B$4</f>
        <v>9997.9860178933013</v>
      </c>
      <c r="M58" s="2">
        <f>$B$2 + $B$3*E58 + 'Станд.норм.распр.'!G59 * $B$4</f>
        <v>9988.2197910260875</v>
      </c>
      <c r="N58" s="2">
        <f>$B$2 + $B$3*E58 + 'Станд.норм.распр.'!H59 * $B$4</f>
        <v>10023.681953512598</v>
      </c>
      <c r="O58" s="2">
        <f>$B$2 + $B$3*E58 + 'Станд.норм.распр.'!I59 * $B$4</f>
        <v>9994.5731344774249</v>
      </c>
      <c r="P58" s="2">
        <f>$B$2 + $B$3*E58 + 'Станд.норм.распр.'!J59 * $B$4</f>
        <v>10007.845620307809</v>
      </c>
      <c r="Q58" s="2">
        <f>$B$2 + $B$3*E58 + 'Станд.норм.распр.'!K59 * $B$4</f>
        <v>9995.2062382868025</v>
      </c>
    </row>
    <row r="59" spans="3:17" x14ac:dyDescent="0.3">
      <c r="C59" s="4" t="s">
        <v>68</v>
      </c>
      <c r="D59" s="4" t="s">
        <v>5</v>
      </c>
      <c r="E59" s="4">
        <v>152</v>
      </c>
      <c r="F59" s="4" t="s">
        <v>286</v>
      </c>
      <c r="G59" s="4" t="s">
        <v>5</v>
      </c>
      <c r="H59" s="2">
        <f>$B$2 + $B$3*E59 + 'Станд.норм.распр.'!B60 * $B$4</f>
        <v>1677.7028571871924</v>
      </c>
      <c r="I59" s="2">
        <f>$B$2 + $B$3*E59 + 'Станд.норм.распр.'!C60 * $B$4</f>
        <v>1672.6070447751554</v>
      </c>
      <c r="J59" s="2">
        <f>$B$2 + $B$3*E59 + 'Станд.норм.распр.'!D60 * $B$4</f>
        <v>1699.0882108351216</v>
      </c>
      <c r="K59" s="2">
        <f>$B$2 + $B$3*E59 + 'Станд.норм.распр.'!E60 * $B$4</f>
        <v>1681.6701822156901</v>
      </c>
      <c r="L59" s="2">
        <f>$B$2 + $B$3*E59 + 'Станд.норм.распр.'!F60 * $B$4</f>
        <v>1679.1585375634313</v>
      </c>
      <c r="M59" s="2">
        <f>$B$2 + $B$3*E59 + 'Станд.норм.распр.'!G60 * $B$4</f>
        <v>1685.1391155163001</v>
      </c>
      <c r="N59" s="2">
        <f>$B$2 + $B$3*E59 + 'Станд.норм.распр.'!H60 * $B$4</f>
        <v>1680.2007022127509</v>
      </c>
      <c r="O59" s="2">
        <f>$B$2 + $B$3*E59 + 'Станд.норм.распр.'!I60 * $B$4</f>
        <v>1675.1865672907443</v>
      </c>
      <c r="P59" s="2">
        <f>$B$2 + $B$3*E59 + 'Станд.норм.распр.'!J60 * $B$4</f>
        <v>1674.4664930505096</v>
      </c>
      <c r="Q59" s="2">
        <f>$B$2 + $B$3*E59 + 'Станд.норм.распр.'!K60 * $B$4</f>
        <v>1677.2776229393785</v>
      </c>
    </row>
    <row r="60" spans="3:17" x14ac:dyDescent="0.3">
      <c r="C60" s="4" t="s">
        <v>69</v>
      </c>
      <c r="D60" s="4" t="s">
        <v>5</v>
      </c>
      <c r="E60" s="4">
        <v>593</v>
      </c>
      <c r="F60" s="4" t="s">
        <v>287</v>
      </c>
      <c r="G60" s="4" t="s">
        <v>5</v>
      </c>
      <c r="H60" s="2">
        <f>$B$2 + $B$3*E60 + 'Станд.норм.распр.'!B61 * $B$4</f>
        <v>6543.2310630255524</v>
      </c>
      <c r="I60" s="2">
        <f>$B$2 + $B$3*E60 + 'Станд.норм.распр.'!C61 * $B$4</f>
        <v>6535.0568964019767</v>
      </c>
      <c r="J60" s="2">
        <f>$B$2 + $B$3*E60 + 'Станд.норм.распр.'!D61 * $B$4</f>
        <v>6525.8488355281879</v>
      </c>
      <c r="K60" s="2">
        <f>$B$2 + $B$3*E60 + 'Станд.норм.распр.'!E61 * $B$4</f>
        <v>6533.6759492053825</v>
      </c>
      <c r="L60" s="2">
        <f>$B$2 + $B$3*E60 + 'Станд.норм.распр.'!F61 * $B$4</f>
        <v>6531.5335400752811</v>
      </c>
      <c r="M60" s="2">
        <f>$B$2 + $B$3*E60 + 'Станд.норм.распр.'!G61 * $B$4</f>
        <v>6547.7317009678809</v>
      </c>
      <c r="N60" s="2">
        <f>$B$2 + $B$3*E60 + 'Станд.норм.распр.'!H61 * $B$4</f>
        <v>6544.518235634052</v>
      </c>
      <c r="O60" s="2">
        <f>$B$2 + $B$3*E60 + 'Станд.норм.распр.'!I61 * $B$4</f>
        <v>6533.3971731631318</v>
      </c>
      <c r="P60" s="2">
        <f>$B$2 + $B$3*E60 + 'Станд.норм.распр.'!J61 * $B$4</f>
        <v>6547.3263369055639</v>
      </c>
      <c r="Q60" s="2">
        <f>$B$2 + $B$3*E60 + 'Станд.норм.распр.'!K61 * $B$4</f>
        <v>6531.1767188374652</v>
      </c>
    </row>
    <row r="61" spans="3:17" x14ac:dyDescent="0.3">
      <c r="C61" s="4" t="s">
        <v>70</v>
      </c>
      <c r="D61" s="4" t="s">
        <v>5</v>
      </c>
      <c r="E61" s="4">
        <v>392</v>
      </c>
      <c r="F61" s="4" t="s">
        <v>288</v>
      </c>
      <c r="G61" s="4" t="s">
        <v>5</v>
      </c>
      <c r="H61" s="2">
        <f>$B$2 + $B$3*E61 + 'Станд.норм.распр.'!B62 * $B$4</f>
        <v>4330.2334545469203</v>
      </c>
      <c r="I61" s="2">
        <f>$B$2 + $B$3*E61 + 'Станд.норм.распр.'!C62 * $B$4</f>
        <v>4312.3950006329105</v>
      </c>
      <c r="J61" s="2">
        <f>$B$2 + $B$3*E61 + 'Станд.норм.распр.'!D62 * $B$4</f>
        <v>4334.3562827057904</v>
      </c>
      <c r="K61" s="2">
        <f>$B$2 + $B$3*E61 + 'Станд.норм.распр.'!E62 * $B$4</f>
        <v>4327.1123211152153</v>
      </c>
      <c r="L61" s="2">
        <f>$B$2 + $B$3*E61 + 'Станд.норм.распр.'!F62 * $B$4</f>
        <v>4333.5098117577145</v>
      </c>
      <c r="M61" s="2">
        <f>$B$2 + $B$3*E61 + 'Станд.норм.распр.'!G62 * $B$4</f>
        <v>4317.7783884484379</v>
      </c>
      <c r="N61" s="2">
        <f>$B$2 + $B$3*E61 + 'Станд.норм.распр.'!H62 * $B$4</f>
        <v>4344.7307705346029</v>
      </c>
      <c r="O61" s="2">
        <f>$B$2 + $B$3*E61 + 'Станд.норм.распр.'!I62 * $B$4</f>
        <v>4327.7083550574171</v>
      </c>
      <c r="P61" s="2">
        <f>$B$2 + $B$3*E61 + 'Станд.норм.распр.'!J62 * $B$4</f>
        <v>4330.6353602556337</v>
      </c>
      <c r="Q61" s="2">
        <f>$B$2 + $B$3*E61 + 'Станд.норм.распр.'!K62 * $B$4</f>
        <v>4333.0763439907751</v>
      </c>
    </row>
    <row r="62" spans="3:17" x14ac:dyDescent="0.3">
      <c r="C62" s="4" t="s">
        <v>71</v>
      </c>
      <c r="D62" s="4" t="s">
        <v>5</v>
      </c>
      <c r="E62" s="4">
        <v>407</v>
      </c>
      <c r="F62" s="4" t="s">
        <v>289</v>
      </c>
      <c r="G62" s="4" t="s">
        <v>5</v>
      </c>
      <c r="H62" s="2">
        <f>$B$2 + $B$3*E62 + 'Станд.норм.распр.'!B63 * $B$4</f>
        <v>4506.3447763295844</v>
      </c>
      <c r="I62" s="2">
        <f>$B$2 + $B$3*E62 + 'Станд.норм.распр.'!C63 * $B$4</f>
        <v>4495.0489953789802</v>
      </c>
      <c r="J62" s="2">
        <f>$B$2 + $B$3*E62 + 'Станд.норм.распр.'!D63 * $B$4</f>
        <v>4489.9036405168008</v>
      </c>
      <c r="K62" s="2">
        <f>$B$2 + $B$3*E62 + 'Станд.норм.распр.'!E63 * $B$4</f>
        <v>4496.6740839227132</v>
      </c>
      <c r="L62" s="2">
        <f>$B$2 + $B$3*E62 + 'Станд.норм.распр.'!F63 * $B$4</f>
        <v>4496.3608573580277</v>
      </c>
      <c r="M62" s="2">
        <f>$B$2 + $B$3*E62 + 'Станд.норм.распр.'!G63 * $B$4</f>
        <v>4500.4001120487519</v>
      </c>
      <c r="N62" s="2">
        <f>$B$2 + $B$3*E62 + 'Станд.норм.распр.'!H63 * $B$4</f>
        <v>4477.3625453144778</v>
      </c>
      <c r="O62" s="2">
        <f>$B$2 + $B$3*E62 + 'Станд.норм.распр.'!I63 * $B$4</f>
        <v>4484.1300112621102</v>
      </c>
      <c r="P62" s="2">
        <f>$B$2 + $B$3*E62 + 'Станд.норм.распр.'!J63 * $B$4</f>
        <v>4484.0681087789708</v>
      </c>
      <c r="Q62" s="2">
        <f>$B$2 + $B$3*E62 + 'Станд.норм.распр.'!K63 * $B$4</f>
        <v>4488.9531764893181</v>
      </c>
    </row>
    <row r="63" spans="3:17" x14ac:dyDescent="0.3">
      <c r="C63" s="4" t="s">
        <v>72</v>
      </c>
      <c r="D63" s="4" t="s">
        <v>5</v>
      </c>
      <c r="E63" s="4">
        <v>211</v>
      </c>
      <c r="F63" s="4" t="s">
        <v>290</v>
      </c>
      <c r="G63" s="4" t="s">
        <v>5</v>
      </c>
      <c r="H63" s="2">
        <f>$B$2 + $B$3*E63 + 'Станд.норм.распр.'!B64 * $B$4</f>
        <v>2332.9404583427822</v>
      </c>
      <c r="I63" s="2">
        <f>$B$2 + $B$3*E63 + 'Станд.норм.распр.'!C64 * $B$4</f>
        <v>2341.9969041760487</v>
      </c>
      <c r="J63" s="2">
        <f>$B$2 + $B$3*E63 + 'Станд.норм.распр.'!D64 * $B$4</f>
        <v>2323.276140356902</v>
      </c>
      <c r="K63" s="2">
        <f>$B$2 + $B$3*E63 + 'Станд.норм.распр.'!E64 * $B$4</f>
        <v>2328.631718098186</v>
      </c>
      <c r="L63" s="2">
        <f>$B$2 + $B$3*E63 + 'Станд.норм.распр.'!F64 * $B$4</f>
        <v>2331.343394741416</v>
      </c>
      <c r="M63" s="2">
        <f>$B$2 + $B$3*E63 + 'Станд.норм.распр.'!G64 * $B$4</f>
        <v>2346.9196147352341</v>
      </c>
      <c r="N63" s="2">
        <f>$B$2 + $B$3*E63 + 'Станд.норм.распр.'!H64 * $B$4</f>
        <v>2338.9426254261343</v>
      </c>
      <c r="O63" s="2">
        <f>$B$2 + $B$3*E63 + 'Станд.норм.распр.'!I64 * $B$4</f>
        <v>2334.1833681178832</v>
      </c>
      <c r="P63" s="2">
        <f>$B$2 + $B$3*E63 + 'Станд.норм.распр.'!J64 * $B$4</f>
        <v>2346.2617908598622</v>
      </c>
      <c r="Q63" s="2">
        <f>$B$2 + $B$3*E63 + 'Станд.норм.распр.'!K64 * $B$4</f>
        <v>2337.1345306322473</v>
      </c>
    </row>
    <row r="64" spans="3:17" x14ac:dyDescent="0.3">
      <c r="C64" s="4" t="s">
        <v>73</v>
      </c>
      <c r="D64" s="4" t="s">
        <v>5</v>
      </c>
      <c r="E64" s="4">
        <v>942</v>
      </c>
      <c r="F64" s="4" t="s">
        <v>291</v>
      </c>
      <c r="G64" s="4" t="s">
        <v>5</v>
      </c>
      <c r="H64" s="2">
        <f>$B$2 + $B$3*E64 + 'Станд.норм.распр.'!B65 * $B$4</f>
        <v>10374.181458522595</v>
      </c>
      <c r="I64" s="2">
        <f>$B$2 + $B$3*E64 + 'Станд.норм.распр.'!C65 * $B$4</f>
        <v>10371.67018221569</v>
      </c>
      <c r="J64" s="2">
        <f>$B$2 + $B$3*E64 + 'Станд.норм.распр.'!D65 * $B$4</f>
        <v>10376.215860609387</v>
      </c>
      <c r="K64" s="2">
        <f>$B$2 + $B$3*E64 + 'Станд.норм.распр.'!E65 * $B$4</f>
        <v>10390.712163647346</v>
      </c>
      <c r="L64" s="2">
        <f>$B$2 + $B$3*E64 + 'Станд.норм.распр.'!F65 * $B$4</f>
        <v>10362.270704539493</v>
      </c>
      <c r="M64" s="2">
        <f>$B$2 + $B$3*E64 + 'Станд.норм.распр.'!G65 * $B$4</f>
        <v>10382.371822109941</v>
      </c>
      <c r="N64" s="2">
        <f>$B$2 + $B$3*E64 + 'Станд.норм.распр.'!H65 * $B$4</f>
        <v>10376.679146978655</v>
      </c>
      <c r="O64" s="2">
        <f>$B$2 + $B$3*E64 + 'Станд.норм.распр.'!I65 * $B$4</f>
        <v>10363.496230460238</v>
      </c>
      <c r="P64" s="2">
        <f>$B$2 + $B$3*E64 + 'Станд.норм.распр.'!J65 * $B$4</f>
        <v>10394.730770534603</v>
      </c>
      <c r="Q64" s="2">
        <f>$B$2 + $B$3*E64 + 'Станд.норм.распр.'!K65 * $B$4</f>
        <v>10381.069312010164</v>
      </c>
    </row>
    <row r="65" spans="3:17" x14ac:dyDescent="0.3">
      <c r="C65" s="4" t="s">
        <v>74</v>
      </c>
      <c r="D65" s="4" t="s">
        <v>5</v>
      </c>
      <c r="E65" s="4">
        <v>785</v>
      </c>
      <c r="F65" s="4" t="s">
        <v>292</v>
      </c>
      <c r="G65" s="4" t="s">
        <v>5</v>
      </c>
      <c r="H65" s="2">
        <f>$B$2 + $B$3*E65 + 'Станд.норм.распр.'!B66 * $B$4</f>
        <v>8639.8735071585397</v>
      </c>
      <c r="I65" s="2">
        <f>$B$2 + $B$3*E65 + 'Станд.норм.распр.'!C66 * $B$4</f>
        <v>8653.0665327105671</v>
      </c>
      <c r="J65" s="2">
        <f>$B$2 + $B$3*E65 + 'Станд.норм.распр.'!D66 * $B$4</f>
        <v>8661.7468774735462</v>
      </c>
      <c r="K65" s="2">
        <f>$B$2 + $B$3*E65 + 'Станд.норм.распр.'!E66 * $B$4</f>
        <v>8647.2748136062582</v>
      </c>
      <c r="L65" s="2">
        <f>$B$2 + $B$3*E65 + 'Станд.норм.распр.'!F66 * $B$4</f>
        <v>8653.3576349981013</v>
      </c>
      <c r="M65" s="2">
        <f>$B$2 + $B$3*E65 + 'Станд.норм.распр.'!G66 * $B$4</f>
        <v>8655.5796988110524</v>
      </c>
      <c r="N65" s="2">
        <f>$B$2 + $B$3*E65 + 'Станд.норм.распр.'!H66 * $B$4</f>
        <v>8653.8831952881301</v>
      </c>
      <c r="O65" s="2">
        <f>$B$2 + $B$3*E65 + 'Станд.норм.распр.'!I66 * $B$4</f>
        <v>8631.2114568814868</v>
      </c>
      <c r="P65" s="2">
        <f>$B$2 + $B$3*E65 + 'Станд.норм.распр.'!J66 * $B$4</f>
        <v>8645.7627661590086</v>
      </c>
      <c r="Q65" s="2">
        <f>$B$2 + $B$3*E65 + 'Станд.норм.распр.'!K66 * $B$4</f>
        <v>8643.6842854114948</v>
      </c>
    </row>
    <row r="66" spans="3:17" x14ac:dyDescent="0.3">
      <c r="C66" s="4" t="s">
        <v>75</v>
      </c>
      <c r="D66" s="4" t="s">
        <v>5</v>
      </c>
      <c r="E66" s="4">
        <v>896</v>
      </c>
      <c r="F66" s="4" t="s">
        <v>293</v>
      </c>
      <c r="G66" s="4" t="s">
        <v>5</v>
      </c>
      <c r="H66" s="2">
        <f>$B$2 + $B$3*E66 + 'Станд.норм.распр.'!B67 * $B$4</f>
        <v>9870.1821160822146</v>
      </c>
      <c r="I66" s="2">
        <f>$B$2 + $B$3*E66 + 'Станд.норм.распр.'!C67 * $B$4</f>
        <v>9872.7136104563397</v>
      </c>
      <c r="J66" s="2">
        <f>$B$2 + $B$3*E66 + 'Станд.норм.распр.'!D67 * $B$4</f>
        <v>9860.5055301496759</v>
      </c>
      <c r="K66" s="2">
        <f>$B$2 + $B$3*E66 + 'Станд.норм.распр.'!E67 * $B$4</f>
        <v>9881.2422276288271</v>
      </c>
      <c r="L66" s="2">
        <f>$B$2 + $B$3*E66 + 'Станд.норм.распр.'!F67 * $B$4</f>
        <v>9869.1474135185854</v>
      </c>
      <c r="M66" s="2">
        <f>$B$2 + $B$3*E66 + 'Станд.норм.распр.'!G67 * $B$4</f>
        <v>9860.4790502114338</v>
      </c>
      <c r="N66" s="2">
        <f>$B$2 + $B$3*E66 + 'Станд.норм.распр.'!H67 * $B$4</f>
        <v>9855.9931358514586</v>
      </c>
      <c r="O66" s="2">
        <f>$B$2 + $B$3*E66 + 'Станд.норм.распр.'!I67 * $B$4</f>
        <v>9878.802001048025</v>
      </c>
      <c r="P66" s="2">
        <f>$B$2 + $B$3*E66 + 'Станд.норм.распр.'!J67 * $B$4</f>
        <v>9882.4372627396951</v>
      </c>
      <c r="Q66" s="2">
        <f>$B$2 + $B$3*E66 + 'Станд.норм.распр.'!K67 * $B$4</f>
        <v>9870.2578724433988</v>
      </c>
    </row>
    <row r="67" spans="3:17" x14ac:dyDescent="0.3">
      <c r="C67" s="4" t="s">
        <v>76</v>
      </c>
      <c r="D67" s="4" t="s">
        <v>5</v>
      </c>
      <c r="E67" s="4">
        <v>920</v>
      </c>
      <c r="F67" s="4" t="s">
        <v>294</v>
      </c>
      <c r="G67" s="4" t="s">
        <v>5</v>
      </c>
      <c r="H67" s="2">
        <f>$B$2 + $B$3*E67 + 'Станд.норм.распр.'!B68 * $B$4</f>
        <v>10138.629855538951</v>
      </c>
      <c r="I67" s="2">
        <f>$B$2 + $B$3*E67 + 'Станд.норм.распр.'!C68 * $B$4</f>
        <v>10134.36465166886</v>
      </c>
      <c r="J67" s="2">
        <f>$B$2 + $B$3*E67 + 'Станд.норм.распр.'!D68 * $B$4</f>
        <v>10130.430713053996</v>
      </c>
      <c r="K67" s="2">
        <f>$B$2 + $B$3*E67 + 'Станд.норм.распр.'!E68 * $B$4</f>
        <v>10125.882343692851</v>
      </c>
      <c r="L67" s="2">
        <f>$B$2 + $B$3*E67 + 'Станд.норм.распр.'!F68 * $B$4</f>
        <v>10128.845743458427</v>
      </c>
      <c r="M67" s="2">
        <f>$B$2 + $B$3*E67 + 'Станд.норм.распр.'!G68 * $B$4</f>
        <v>10135.993167870751</v>
      </c>
      <c r="N67" s="2">
        <f>$B$2 + $B$3*E67 + 'Станд.норм.распр.'!H68 * $B$4</f>
        <v>10131.240960283307</v>
      </c>
      <c r="O67" s="2">
        <f>$B$2 + $B$3*E67 + 'Станд.норм.распр.'!I68 * $B$4</f>
        <v>10145.685367553582</v>
      </c>
      <c r="P67" s="2">
        <f>$B$2 + $B$3*E67 + 'Станд.норм.распр.'!J68 * $B$4</f>
        <v>10143.319710443378</v>
      </c>
      <c r="Q67" s="2">
        <f>$B$2 + $B$3*E67 + 'Станд.норм.распр.'!K68 * $B$4</f>
        <v>10132.788399580008</v>
      </c>
    </row>
    <row r="68" spans="3:17" x14ac:dyDescent="0.3">
      <c r="C68" s="4" t="s">
        <v>77</v>
      </c>
      <c r="D68" s="4" t="s">
        <v>5</v>
      </c>
      <c r="E68" s="4">
        <v>147</v>
      </c>
      <c r="F68" s="4" t="s">
        <v>295</v>
      </c>
      <c r="G68" s="4" t="s">
        <v>5</v>
      </c>
      <c r="H68" s="2">
        <f>$B$2 + $B$3*E68 + 'Станд.норм.распр.'!B69 * $B$4</f>
        <v>1620.4524717092281</v>
      </c>
      <c r="I68" s="2">
        <f>$B$2 + $B$3*E68 + 'Станд.норм.распр.'!C69 * $B$4</f>
        <v>1637.0494585341075</v>
      </c>
      <c r="J68" s="2">
        <f>$B$2 + $B$3*E68 + 'Станд.норм.распр.'!D69 * $B$4</f>
        <v>1641.0647707768076</v>
      </c>
      <c r="K68" s="2">
        <f>$B$2 + $B$3*E68 + 'Станд.норм.распр.'!E69 * $B$4</f>
        <v>1632.2908458302263</v>
      </c>
      <c r="L68" s="2">
        <f>$B$2 + $B$3*E68 + 'Станд.норм.распр.'!F69 * $B$4</f>
        <v>1633.945821506728</v>
      </c>
      <c r="M68" s="2">
        <f>$B$2 + $B$3*E68 + 'Станд.норм.распр.'!G69 * $B$4</f>
        <v>1636.2796781346842</v>
      </c>
      <c r="N68" s="2">
        <f>$B$2 + $B$3*E68 + 'Станд.норм.распр.'!H69 * $B$4</f>
        <v>1635.681014615926</v>
      </c>
      <c r="O68" s="2">
        <f>$B$2 + $B$3*E68 + 'Станд.норм.распр.'!I69 * $B$4</f>
        <v>1629.9459388416435</v>
      </c>
      <c r="P68" s="2">
        <f>$B$2 + $B$3*E68 + 'Станд.норм.распр.'!J69 * $B$4</f>
        <v>1635.7157413973764</v>
      </c>
      <c r="Q68" s="2">
        <f>$B$2 + $B$3*E68 + 'Станд.норм.распр.'!K69 * $B$4</f>
        <v>1650.1798244486563</v>
      </c>
    </row>
    <row r="69" spans="3:17" x14ac:dyDescent="0.3">
      <c r="C69" s="4" t="s">
        <v>78</v>
      </c>
      <c r="D69" s="4" t="s">
        <v>5</v>
      </c>
      <c r="E69" s="4">
        <v>712</v>
      </c>
      <c r="F69" s="4" t="s">
        <v>296</v>
      </c>
      <c r="G69" s="4" t="s">
        <v>5</v>
      </c>
      <c r="H69" s="2">
        <f>$B$2 + $B$3*E69 + 'Станд.норм.распр.'!B70 * $B$4</f>
        <v>7838.1012226877792</v>
      </c>
      <c r="I69" s="2">
        <f>$B$2 + $B$3*E69 + 'Станд.норм.распр.'!C70 * $B$4</f>
        <v>7844.2186818670016</v>
      </c>
      <c r="J69" s="2">
        <f>$B$2 + $B$3*E69 + 'Станд.норм.распр.'!D70 * $B$4</f>
        <v>7838.8446050034836</v>
      </c>
      <c r="K69" s="2">
        <f>$B$2 + $B$3*E69 + 'Станд.норм.распр.'!E70 * $B$4</f>
        <v>7838.0342247605731</v>
      </c>
      <c r="L69" s="2">
        <f>$B$2 + $B$3*E69 + 'Станд.норм.распр.'!F70 * $B$4</f>
        <v>7846.2654542186065</v>
      </c>
      <c r="M69" s="2">
        <f>$B$2 + $B$3*E69 + 'Станд.норм.распр.'!G70 * $B$4</f>
        <v>7828.4801034264965</v>
      </c>
      <c r="N69" s="2">
        <f>$B$2 + $B$3*E69 + 'Станд.норм.распр.'!H70 * $B$4</f>
        <v>7836.6330799603893</v>
      </c>
      <c r="O69" s="2">
        <f>$B$2 + $B$3*E69 + 'Станд.норм.распр.'!I70 * $B$4</f>
        <v>7840.4862793199718</v>
      </c>
      <c r="P69" s="2">
        <f>$B$2 + $B$3*E69 + 'Станд.норм.распр.'!J70 * $B$4</f>
        <v>7841.6051283334091</v>
      </c>
      <c r="Q69" s="2">
        <f>$B$2 + $B$3*E69 + 'Станд.норм.распр.'!K70 * $B$4</f>
        <v>7842.7130630920874</v>
      </c>
    </row>
    <row r="70" spans="3:17" x14ac:dyDescent="0.3">
      <c r="C70" s="4" t="s">
        <v>79</v>
      </c>
      <c r="D70" s="4" t="s">
        <v>5</v>
      </c>
      <c r="E70" s="4">
        <v>418</v>
      </c>
      <c r="F70" s="4" t="s">
        <v>297</v>
      </c>
      <c r="G70" s="4" t="s">
        <v>5</v>
      </c>
      <c r="H70" s="2">
        <f>$B$2 + $B$3*E70 + 'Станд.норм.распр.'!B71 * $B$4</f>
        <v>4621.5949391379545</v>
      </c>
      <c r="I70" s="2">
        <f>$B$2 + $B$3*E70 + 'Станд.норм.распр.'!C71 * $B$4</f>
        <v>4608.2939955366892</v>
      </c>
      <c r="J70" s="2">
        <f>$B$2 + $B$3*E70 + 'Станд.норм.распр.'!D71 * $B$4</f>
        <v>4600.4099315750063</v>
      </c>
      <c r="K70" s="2">
        <f>$B$2 + $B$3*E70 + 'Станд.норм.распр.'!E71 * $B$4</f>
        <v>4601.0709068495198</v>
      </c>
      <c r="L70" s="2">
        <f>$B$2 + $B$3*E70 + 'Станд.норм.распр.'!F71 * $B$4</f>
        <v>4613.7609568203625</v>
      </c>
      <c r="M70" s="2">
        <f>$B$2 + $B$3*E70 + 'Станд.норм.распр.'!G71 * $B$4</f>
        <v>4605.2856167106365</v>
      </c>
      <c r="N70" s="2">
        <f>$B$2 + $B$3*E70 + 'Станд.норм.распр.'!H71 * $B$4</f>
        <v>4608.5510596666718</v>
      </c>
      <c r="O70" s="2">
        <f>$B$2 + $B$3*E70 + 'Станд.норм.распр.'!I71 * $B$4</f>
        <v>4618.0503180066007</v>
      </c>
      <c r="P70" s="2">
        <f>$B$2 + $B$3*E70 + 'Станд.норм.распр.'!J71 * $B$4</f>
        <v>4602.5474601291644</v>
      </c>
      <c r="Q70" s="2">
        <f>$B$2 + $B$3*E70 + 'Станд.норм.распр.'!K71 * $B$4</f>
        <v>4624.5273027151707</v>
      </c>
    </row>
    <row r="71" spans="3:17" x14ac:dyDescent="0.3">
      <c r="C71" s="4" t="s">
        <v>80</v>
      </c>
      <c r="D71" s="4" t="s">
        <v>5</v>
      </c>
      <c r="E71" s="4">
        <v>876</v>
      </c>
      <c r="F71" s="4" t="s">
        <v>298</v>
      </c>
      <c r="G71" s="4" t="s">
        <v>5</v>
      </c>
      <c r="H71" s="2">
        <f>$B$2 + $B$3*E71 + 'Станд.норм.распр.'!B72 * $B$4</f>
        <v>9654.0604243167763</v>
      </c>
      <c r="I71" s="2">
        <f>$B$2 + $B$3*E71 + 'Станд.норм.распр.'!C72 * $B$4</f>
        <v>9639.7028646955732</v>
      </c>
      <c r="J71" s="2">
        <f>$B$2 + $B$3*E71 + 'Станд.норм.распр.'!D72 * $B$4</f>
        <v>9642.6406644590315</v>
      </c>
      <c r="K71" s="2">
        <f>$B$2 + $B$3*E71 + 'Станд.норм.распр.'!E72 * $B$4</f>
        <v>9641.4909972176247</v>
      </c>
      <c r="L71" s="2">
        <f>$B$2 + $B$3*E71 + 'Станд.норм.распр.'!F72 * $B$4</f>
        <v>9645.8149419398978</v>
      </c>
      <c r="M71" s="2">
        <f>$B$2 + $B$3*E71 + 'Станд.норм.распр.'!G72 * $B$4</f>
        <v>9637.2961370783742</v>
      </c>
      <c r="N71" s="2">
        <f>$B$2 + $B$3*E71 + 'Станд.норм.распр.'!H72 * $B$4</f>
        <v>9644.233226061624</v>
      </c>
      <c r="O71" s="2">
        <f>$B$2 + $B$3*E71 + 'Станд.норм.распр.'!I72 * $B$4</f>
        <v>9632.1380333742127</v>
      </c>
      <c r="P71" s="2">
        <f>$B$2 + $B$3*E71 + 'Станд.норм.распр.'!J72 * $B$4</f>
        <v>9653.2673665373295</v>
      </c>
      <c r="Q71" s="2">
        <f>$B$2 + $B$3*E71 + 'Станд.норм.распр.'!K72 * $B$4</f>
        <v>9653.7217512272036</v>
      </c>
    </row>
    <row r="72" spans="3:17" x14ac:dyDescent="0.3">
      <c r="C72" s="4" t="s">
        <v>81</v>
      </c>
      <c r="D72" s="4" t="s">
        <v>5</v>
      </c>
      <c r="E72" s="4">
        <v>757</v>
      </c>
      <c r="F72" s="4" t="s">
        <v>299</v>
      </c>
      <c r="G72" s="4" t="s">
        <v>5</v>
      </c>
      <c r="H72" s="2">
        <f>$B$2 + $B$3*E72 + 'Станд.норм.распр.'!B73 * $B$4</f>
        <v>8352.0305313683057</v>
      </c>
      <c r="I72" s="2">
        <f>$B$2 + $B$3*E72 + 'Станд.норм.распр.'!C73 * $B$4</f>
        <v>8343.1479854694917</v>
      </c>
      <c r="J72" s="2">
        <f>$B$2 + $B$3*E72 + 'Станд.норм.распр.'!D73 * $B$4</f>
        <v>8341.193135747395</v>
      </c>
      <c r="K72" s="2">
        <f>$B$2 + $B$3*E72 + 'Станд.норм.распр.'!E73 * $B$4</f>
        <v>8331.295143561525</v>
      </c>
      <c r="L72" s="2">
        <f>$B$2 + $B$3*E72 + 'Станд.норм.распр.'!F73 * $B$4</f>
        <v>8341.0072236616688</v>
      </c>
      <c r="M72" s="2">
        <f>$B$2 + $B$3*E72 + 'Станд.норм.распр.'!G73 * $B$4</f>
        <v>8334.6679182610533</v>
      </c>
      <c r="N72" s="2">
        <f>$B$2 + $B$3*E72 + 'Станд.норм.распр.'!H73 * $B$4</f>
        <v>8356.6198893819237</v>
      </c>
      <c r="O72" s="2">
        <f>$B$2 + $B$3*E72 + 'Станд.норм.распр.'!I73 * $B$4</f>
        <v>8327.4508663449669</v>
      </c>
      <c r="P72" s="2">
        <f>$B$2 + $B$3*E72 + 'Станд.норм.распр.'!J73 * $B$4</f>
        <v>8343.7395685719966</v>
      </c>
      <c r="Q72" s="2">
        <f>$B$2 + $B$3*E72 + 'Станд.норм.распр.'!K73 * $B$4</f>
        <v>8334.8091173135035</v>
      </c>
    </row>
    <row r="73" spans="3:17" x14ac:dyDescent="0.3">
      <c r="C73" s="4" t="s">
        <v>82</v>
      </c>
      <c r="D73" s="4" t="s">
        <v>5</v>
      </c>
      <c r="E73" s="4">
        <v>670</v>
      </c>
      <c r="F73" s="4" t="s">
        <v>300</v>
      </c>
      <c r="G73" s="4" t="s">
        <v>5</v>
      </c>
      <c r="H73" s="2">
        <f>$B$2 + $B$3*E73 + 'Станд.норм.распр.'!B74 * $B$4</f>
        <v>7381.2705302297982</v>
      </c>
      <c r="I73" s="2">
        <f>$B$2 + $B$3*E73 + 'Станд.норм.распр.'!C74 * $B$4</f>
        <v>7393.4824781626812</v>
      </c>
      <c r="J73" s="2">
        <f>$B$2 + $B$3*E73 + 'Станд.норм.распр.'!D74 * $B$4</f>
        <v>7383.298752300092</v>
      </c>
      <c r="K73" s="2">
        <f>$B$2 + $B$3*E73 + 'Станд.норм.распр.'!E74 * $B$4</f>
        <v>7380.623552078745</v>
      </c>
      <c r="L73" s="2">
        <f>$B$2 + $B$3*E73 + 'Станд.норм.распр.'!F74 * $B$4</f>
        <v>7384.8519009497832</v>
      </c>
      <c r="M73" s="2">
        <f>$B$2 + $B$3*E73 + 'Станд.норм.распр.'!G74 * $B$4</f>
        <v>7393.2039681476308</v>
      </c>
      <c r="N73" s="2">
        <f>$B$2 + $B$3*E73 + 'Станд.норм.распр.'!H74 * $B$4</f>
        <v>7375.003799095779</v>
      </c>
      <c r="O73" s="2">
        <f>$B$2 + $B$3*E73 + 'Станд.норм.распр.'!I74 * $B$4</f>
        <v>7392.8655406216276</v>
      </c>
      <c r="P73" s="2">
        <f>$B$2 + $B$3*E73 + 'Станд.норм.распр.'!J74 * $B$4</f>
        <v>7382.5140641456383</v>
      </c>
      <c r="Q73" s="2">
        <f>$B$2 + $B$3*E73 + 'Станд.норм.распр.'!K74 * $B$4</f>
        <v>7401.1249484992586</v>
      </c>
    </row>
    <row r="74" spans="3:17" x14ac:dyDescent="0.3">
      <c r="C74" s="4" t="s">
        <v>83</v>
      </c>
      <c r="D74" s="4" t="s">
        <v>5</v>
      </c>
      <c r="E74" s="4">
        <v>823</v>
      </c>
      <c r="F74" s="4" t="s">
        <v>301</v>
      </c>
      <c r="G74" s="4" t="s">
        <v>5</v>
      </c>
      <c r="H74" s="2">
        <f>$B$2 + $B$3*E74 + 'Станд.норм.распр.'!B75 * $B$4</f>
        <v>9070.4333879739279</v>
      </c>
      <c r="I74" s="2">
        <f>$B$2 + $B$3*E74 + 'Станд.норм.распр.'!C75 * $B$4</f>
        <v>9057.9662687969103</v>
      </c>
      <c r="J74" s="2">
        <f>$B$2 + $B$3*E74 + 'Станд.норм.распр.'!D75 * $B$4</f>
        <v>9061.3645002531412</v>
      </c>
      <c r="K74" s="2">
        <f>$B$2 + $B$3*E74 + 'Станд.норм.распр.'!E75 * $B$4</f>
        <v>9058.5425246399536</v>
      </c>
      <c r="L74" s="2">
        <f>$B$2 + $B$3*E74 + 'Станд.норм.распр.'!F75 * $B$4</f>
        <v>9074.1506678978039</v>
      </c>
      <c r="M74" s="2">
        <f>$B$2 + $B$3*E74 + 'Станд.норм.распр.'!G75 * $B$4</f>
        <v>9067.9411530754733</v>
      </c>
      <c r="N74" s="2">
        <f>$B$2 + $B$3*E74 + 'Станд.норм.распр.'!H75 * $B$4</f>
        <v>9065.7522608080326</v>
      </c>
      <c r="O74" s="2">
        <f>$B$2 + $B$3*E74 + 'Станд.норм.распр.'!I75 * $B$4</f>
        <v>9075.9103764366882</v>
      </c>
      <c r="P74" s="2">
        <f>$B$2 + $B$3*E74 + 'Станд.норм.распр.'!J75 * $B$4</f>
        <v>9075.7920147961995</v>
      </c>
      <c r="Q74" s="2">
        <f>$B$2 + $B$3*E74 + 'Станд.норм.распр.'!K75 * $B$4</f>
        <v>9063.9719280215795</v>
      </c>
    </row>
    <row r="75" spans="3:17" x14ac:dyDescent="0.3">
      <c r="C75" s="4" t="s">
        <v>84</v>
      </c>
      <c r="D75" s="4" t="s">
        <v>5</v>
      </c>
      <c r="E75" s="4">
        <v>634</v>
      </c>
      <c r="F75" s="4" t="s">
        <v>302</v>
      </c>
      <c r="G75" s="4" t="s">
        <v>5</v>
      </c>
      <c r="H75" s="2">
        <f>$B$2 + $B$3*E75 + 'Станд.норм.распр.'!B76 * $B$4</f>
        <v>6991.6050676044397</v>
      </c>
      <c r="I75" s="2">
        <f>$B$2 + $B$3*E75 + 'Станд.норм.распр.'!C76 * $B$4</f>
        <v>6982.6769185044104</v>
      </c>
      <c r="J75" s="2">
        <f>$B$2 + $B$3*E75 + 'Станд.норм.распр.'!D76 * $B$4</f>
        <v>6988.3929017111659</v>
      </c>
      <c r="K75" s="2">
        <f>$B$2 + $B$3*E75 + 'Станд.норм.распр.'!E76 * $B$4</f>
        <v>6985.5475361679855</v>
      </c>
      <c r="L75" s="2">
        <f>$B$2 + $B$3*E75 + 'Станд.норм.распр.'!F76 * $B$4</f>
        <v>6980.2578922451066</v>
      </c>
      <c r="M75" s="2">
        <f>$B$2 + $B$3*E75 + 'Станд.норм.распр.'!G76 * $B$4</f>
        <v>6973.9630133869359</v>
      </c>
      <c r="N75" s="2">
        <f>$B$2 + $B$3*E75 + 'Станд.норм.распр.'!H76 * $B$4</f>
        <v>6977.684283718816</v>
      </c>
      <c r="O75" s="2">
        <f>$B$2 + $B$3*E75 + 'Станд.норм.распр.'!I76 * $B$4</f>
        <v>6984.4761013870884</v>
      </c>
      <c r="P75" s="2">
        <f>$B$2 + $B$3*E75 + 'Станд.норм.распр.'!J76 * $B$4</f>
        <v>6983.8080252326909</v>
      </c>
      <c r="Q75" s="2">
        <f>$B$2 + $B$3*E75 + 'Станд.норм.распр.'!K76 * $B$4</f>
        <v>6986.3685708229896</v>
      </c>
    </row>
    <row r="76" spans="3:17" x14ac:dyDescent="0.3">
      <c r="C76" s="4" t="s">
        <v>85</v>
      </c>
      <c r="D76" s="4" t="s">
        <v>5</v>
      </c>
      <c r="E76" s="4">
        <v>407</v>
      </c>
      <c r="F76" s="4" t="s">
        <v>303</v>
      </c>
      <c r="G76" s="4" t="s">
        <v>5</v>
      </c>
      <c r="H76" s="2">
        <f>$B$2 + $B$3*E76 + 'Станд.норм.распр.'!B77 * $B$4</f>
        <v>4493.4096129891404</v>
      </c>
      <c r="I76" s="2">
        <f>$B$2 + $B$3*E76 + 'Станд.норм.распр.'!C77 * $B$4</f>
        <v>4490.7800057371933</v>
      </c>
      <c r="J76" s="2">
        <f>$B$2 + $B$3*E76 + 'Станд.норм.распр.'!D77 * $B$4</f>
        <v>4477.5546445562504</v>
      </c>
      <c r="K76" s="2">
        <f>$B$2 + $B$3*E76 + 'Станд.норм.распр.'!E77 * $B$4</f>
        <v>4473.4341011844808</v>
      </c>
      <c r="L76" s="2">
        <f>$B$2 + $B$3*E76 + 'Станд.норм.распр.'!F77 * $B$4</f>
        <v>4486.0736673781648</v>
      </c>
      <c r="M76" s="2">
        <f>$B$2 + $B$3*E76 + 'Станд.норм.распр.'!G77 * $B$4</f>
        <v>4497.9004386205052</v>
      </c>
      <c r="N76" s="2">
        <f>$B$2 + $B$3*E76 + 'Станд.норм.распр.'!H77 * $B$4</f>
        <v>4487.9814507494448</v>
      </c>
      <c r="O76" s="2">
        <f>$B$2 + $B$3*E76 + 'Станд.норм.распр.'!I77 * $B$4</f>
        <v>4488.776851614617</v>
      </c>
      <c r="P76" s="2">
        <f>$B$2 + $B$3*E76 + 'Станд.норм.распр.'!J77 * $B$4</f>
        <v>4493.7785313250206</v>
      </c>
      <c r="Q76" s="2">
        <f>$B$2 + $B$3*E76 + 'Станд.норм.распр.'!K77 * $B$4</f>
        <v>4492.1858980997204</v>
      </c>
    </row>
    <row r="77" spans="3:17" x14ac:dyDescent="0.3">
      <c r="C77" s="4" t="s">
        <v>86</v>
      </c>
      <c r="D77" s="4" t="s">
        <v>5</v>
      </c>
      <c r="E77" s="4">
        <v>923</v>
      </c>
      <c r="F77" s="4" t="s">
        <v>304</v>
      </c>
      <c r="G77" s="4" t="s">
        <v>5</v>
      </c>
      <c r="H77" s="2">
        <f>$B$2 + $B$3*E77 + 'Станд.норм.распр.'!B78 * $B$4</f>
        <v>10157.148562574177</v>
      </c>
      <c r="I77" s="2">
        <f>$B$2 + $B$3*E77 + 'Станд.норм.распр.'!C78 * $B$4</f>
        <v>10170.381614988029</v>
      </c>
      <c r="J77" s="2">
        <f>$B$2 + $B$3*E77 + 'Станд.норм.распр.'!D78 * $B$4</f>
        <v>10163.835381352867</v>
      </c>
      <c r="K77" s="2">
        <f>$B$2 + $B$3*E77 + 'Станд.норм.распр.'!E78 * $B$4</f>
        <v>10173.973637027841</v>
      </c>
      <c r="L77" s="2">
        <f>$B$2 + $B$3*E77 + 'Станд.норм.распр.'!F78 * $B$4</f>
        <v>10158.557504017692</v>
      </c>
      <c r="M77" s="2">
        <f>$B$2 + $B$3*E77 + 'Станд.норм.распр.'!G78 * $B$4</f>
        <v>10153.438015184831</v>
      </c>
      <c r="N77" s="2">
        <f>$B$2 + $B$3*E77 + 'Станд.норм.распр.'!H78 * $B$4</f>
        <v>10177.62151764016</v>
      </c>
      <c r="O77" s="2">
        <f>$B$2 + $B$3*E77 + 'Станд.норм.распр.'!I78 * $B$4</f>
        <v>10170.201269009878</v>
      </c>
      <c r="P77" s="2">
        <f>$B$2 + $B$3*E77 + 'Станд.норм.распр.'!J78 * $B$4</f>
        <v>10166.719402694609</v>
      </c>
      <c r="Q77" s="2">
        <f>$B$2 + $B$3*E77 + 'Станд.норм.распр.'!K78 * $B$4</f>
        <v>10158.488848536392</v>
      </c>
    </row>
    <row r="78" spans="3:17" x14ac:dyDescent="0.3">
      <c r="C78" s="4" t="s">
        <v>87</v>
      </c>
      <c r="D78" s="4" t="s">
        <v>5</v>
      </c>
      <c r="E78" s="4">
        <v>235</v>
      </c>
      <c r="F78" s="4" t="s">
        <v>305</v>
      </c>
      <c r="G78" s="4" t="s">
        <v>5</v>
      </c>
      <c r="H78" s="2">
        <f>$B$2 + $B$3*E78 + 'Станд.норм.распр.'!B79 * $B$4</f>
        <v>2579.8002030476928</v>
      </c>
      <c r="I78" s="2">
        <f>$B$2 + $B$3*E78 + 'Станд.норм.распр.'!C79 * $B$4</f>
        <v>2605.4552523326711</v>
      </c>
      <c r="J78" s="2">
        <f>$B$2 + $B$3*E78 + 'Станд.норм.распр.'!D79 * $B$4</f>
        <v>2590.7228501544741</v>
      </c>
      <c r="K78" s="2">
        <f>$B$2 + $B$3*E78 + 'Станд.норм.распр.'!E79 * $B$4</f>
        <v>2598.6456824646884</v>
      </c>
      <c r="L78" s="2">
        <f>$B$2 + $B$3*E78 + 'Станд.норм.распр.'!F79 * $B$4</f>
        <v>2586.728779160534</v>
      </c>
      <c r="M78" s="2">
        <f>$B$2 + $B$3*E78 + 'Станд.норм.распр.'!G79 * $B$4</f>
        <v>2600.9607227841334</v>
      </c>
      <c r="N78" s="2">
        <f>$B$2 + $B$3*E78 + 'Станд.норм.распр.'!H79 * $B$4</f>
        <v>2594.3740734781604</v>
      </c>
      <c r="O78" s="2">
        <f>$B$2 + $B$3*E78 + 'Станд.норм.распр.'!I79 * $B$4</f>
        <v>2606.4210743150616</v>
      </c>
      <c r="P78" s="2">
        <f>$B$2 + $B$3*E78 + 'Станд.норм.распр.'!J79 * $B$4</f>
        <v>2617.612327039591</v>
      </c>
      <c r="Q78" s="2">
        <f>$B$2 + $B$3*E78 + 'Станд.норм.распр.'!K79 * $B$4</f>
        <v>2601.9487273423001</v>
      </c>
    </row>
    <row r="79" spans="3:17" x14ac:dyDescent="0.3">
      <c r="C79" s="4" t="s">
        <v>88</v>
      </c>
      <c r="D79" s="4" t="s">
        <v>5</v>
      </c>
      <c r="E79" s="4">
        <v>314</v>
      </c>
      <c r="F79" s="4" t="s">
        <v>306</v>
      </c>
      <c r="G79" s="4" t="s">
        <v>5</v>
      </c>
      <c r="H79" s="2">
        <f>$B$2 + $B$3*E79 + 'Станд.норм.распр.'!B80 * $B$4</f>
        <v>3479.4460280201311</v>
      </c>
      <c r="I79" s="2">
        <f>$B$2 + $B$3*E79 + 'Станд.норм.распр.'!C80 * $B$4</f>
        <v>3461.6272979539353</v>
      </c>
      <c r="J79" s="2">
        <f>$B$2 + $B$3*E79 + 'Станд.норм.распр.'!D80 * $B$4</f>
        <v>3468.2909314389399</v>
      </c>
      <c r="K79" s="2">
        <f>$B$2 + $B$3*E79 + 'Станд.норм.распр.'!E80 * $B$4</f>
        <v>3459.4899126451928</v>
      </c>
      <c r="L79" s="2">
        <f>$B$2 + $B$3*E79 + 'Станд.норм.распр.'!F80 * $B$4</f>
        <v>3472.6744529299904</v>
      </c>
      <c r="M79" s="2">
        <f>$B$2 + $B$3*E79 + 'Станд.норм.распр.'!G80 * $B$4</f>
        <v>3461.2728678686544</v>
      </c>
      <c r="N79" s="2">
        <f>$B$2 + $B$3*E79 + 'Станд.норм.распр.'!H80 * $B$4</f>
        <v>3459.8512594376807</v>
      </c>
      <c r="O79" s="2">
        <f>$B$2 + $B$3*E79 + 'Станд.норм.распр.'!I80 * $B$4</f>
        <v>3450.4526003067149</v>
      </c>
      <c r="P79" s="2">
        <f>$B$2 + $B$3*E79 + 'Станд.норм.распр.'!J80 * $B$4</f>
        <v>3468.8380675353692</v>
      </c>
      <c r="Q79" s="2">
        <f>$B$2 + $B$3*E79 + 'Станд.норм.распр.'!K80 * $B$4</f>
        <v>3469.822756985348</v>
      </c>
    </row>
    <row r="80" spans="3:17" x14ac:dyDescent="0.3">
      <c r="C80" s="4" t="s">
        <v>89</v>
      </c>
      <c r="D80" s="4" t="s">
        <v>5</v>
      </c>
      <c r="E80" s="4">
        <v>911</v>
      </c>
      <c r="F80" s="4" t="s">
        <v>307</v>
      </c>
      <c r="G80" s="4" t="s">
        <v>5</v>
      </c>
      <c r="H80" s="2">
        <f>$B$2 + $B$3*E80 + 'Станд.норм.распр.'!B81 * $B$4</f>
        <v>10048.643218289857</v>
      </c>
      <c r="I80" s="2">
        <f>$B$2 + $B$3*E80 + 'Станд.норм.распр.'!C81 * $B$4</f>
        <v>10022.359226452099</v>
      </c>
      <c r="J80" s="2">
        <f>$B$2 + $B$3*E80 + 'Станд.норм.распр.'!D81 * $B$4</f>
        <v>10036.488729139965</v>
      </c>
      <c r="K80" s="2">
        <f>$B$2 + $B$3*E80 + 'Станд.норм.распр.'!E81 * $B$4</f>
        <v>10023.123277034902</v>
      </c>
      <c r="L80" s="2">
        <f>$B$2 + $B$3*E80 + 'Станд.норм.распр.'!F81 * $B$4</f>
        <v>10031.435174125509</v>
      </c>
      <c r="M80" s="2">
        <f>$B$2 + $B$3*E80 + 'Станд.норм.распр.'!G81 * $B$4</f>
        <v>10025.458545653382</v>
      </c>
      <c r="N80" s="2">
        <f>$B$2 + $B$3*E80 + 'Станд.норм.распр.'!H81 * $B$4</f>
        <v>10035.629440819466</v>
      </c>
      <c r="O80" s="2">
        <f>$B$2 + $B$3*E80 + 'Станд.норм.распр.'!I81 * $B$4</f>
        <v>10044.241211955668</v>
      </c>
      <c r="P80" s="2">
        <f>$B$2 + $B$3*E80 + 'Станд.норм.распр.'!J81 * $B$4</f>
        <v>10030.902956015925</v>
      </c>
      <c r="Q80" s="2">
        <f>$B$2 + $B$3*E80 + 'Станд.норм.распр.'!K81 * $B$4</f>
        <v>10034.138419752853</v>
      </c>
    </row>
    <row r="81" spans="3:17" x14ac:dyDescent="0.3">
      <c r="C81" s="4" t="s">
        <v>90</v>
      </c>
      <c r="D81" s="4" t="s">
        <v>5</v>
      </c>
      <c r="E81" s="4">
        <v>273</v>
      </c>
      <c r="F81" s="4" t="s">
        <v>308</v>
      </c>
      <c r="G81" s="4" t="s">
        <v>5</v>
      </c>
      <c r="H81" s="2">
        <f>$B$2 + $B$3*E81 + 'Станд.норм.распр.'!B82 * $B$4</f>
        <v>3021.4780563257518</v>
      </c>
      <c r="I81" s="2">
        <f>$B$2 + $B$3*E81 + 'Станд.норм.распр.'!C82 * $B$4</f>
        <v>2992.2910662209615</v>
      </c>
      <c r="J81" s="2">
        <f>$B$2 + $B$3*E81 + 'Станд.норм.распр.'!D82 * $B$4</f>
        <v>3017.7081439434842</v>
      </c>
      <c r="K81" s="2">
        <f>$B$2 + $B$3*E81 + 'Станд.норм.распр.'!E82 * $B$4</f>
        <v>3022.6145859161916</v>
      </c>
      <c r="L81" s="2">
        <f>$B$2 + $B$3*E81 + 'Станд.норм.распр.'!F82 * $B$4</f>
        <v>3019.079340220007</v>
      </c>
      <c r="M81" s="2">
        <f>$B$2 + $B$3*E81 + 'Станд.норм.распр.'!G82 * $B$4</f>
        <v>3000.1884724699194</v>
      </c>
      <c r="N81" s="2">
        <f>$B$2 + $B$3*E81 + 'Станд.норм.распр.'!H82 * $B$4</f>
        <v>3015.1786447733612</v>
      </c>
      <c r="O81" s="2">
        <f>$B$2 + $B$3*E81 + 'Станд.норм.распр.'!I82 * $B$4</f>
        <v>3017.1958881057362</v>
      </c>
      <c r="P81" s="2">
        <f>$B$2 + $B$3*E81 + 'Станд.норм.распр.'!J82 * $B$4</f>
        <v>3014.7306856635551</v>
      </c>
      <c r="Q81" s="2">
        <f>$B$2 + $B$3*E81 + 'Станд.норм.распр.'!K82 * $B$4</f>
        <v>3013.8979039294645</v>
      </c>
    </row>
    <row r="82" spans="3:17" x14ac:dyDescent="0.3">
      <c r="C82" s="4" t="s">
        <v>91</v>
      </c>
      <c r="D82" s="4" t="s">
        <v>5</v>
      </c>
      <c r="E82" s="4">
        <v>403</v>
      </c>
      <c r="F82" s="4" t="s">
        <v>309</v>
      </c>
      <c r="G82" s="4" t="s">
        <v>5</v>
      </c>
      <c r="H82" s="2">
        <f>$B$2 + $B$3*E82 + 'Станд.норм.распр.'!B83 * $B$4</f>
        <v>4457.2456488093594</v>
      </c>
      <c r="I82" s="2">
        <f>$B$2 + $B$3*E82 + 'Станд.норм.распр.'!C83 * $B$4</f>
        <v>4450.3520859687997</v>
      </c>
      <c r="J82" s="2">
        <f>$B$2 + $B$3*E82 + 'Станд.норм.распр.'!D83 * $B$4</f>
        <v>4458.3496821541048</v>
      </c>
      <c r="K82" s="2">
        <f>$B$2 + $B$3*E82 + 'Станд.норм.распр.'!E83 * $B$4</f>
        <v>4429.259751050151</v>
      </c>
      <c r="L82" s="2">
        <f>$B$2 + $B$3*E82 + 'Станд.норм.распр.'!F83 * $B$4</f>
        <v>4457.2561671155854</v>
      </c>
      <c r="M82" s="2">
        <f>$B$2 + $B$3*E82 + 'Станд.норм.распр.'!G83 * $B$4</f>
        <v>4446.5402333752281</v>
      </c>
      <c r="N82" s="2">
        <f>$B$2 + $B$3*E82 + 'Станд.норм.распр.'!H83 * $B$4</f>
        <v>4455.8565980149724</v>
      </c>
      <c r="O82" s="2">
        <f>$B$2 + $B$3*E82 + 'Станд.норм.распр.'!I83 * $B$4</f>
        <v>4450.260746552769</v>
      </c>
      <c r="P82" s="2">
        <f>$B$2 + $B$3*E82 + 'Станд.норм.распр.'!J83 * $B$4</f>
        <v>4451.5341952045565</v>
      </c>
      <c r="Q82" s="2">
        <f>$B$2 + $B$3*E82 + 'Станд.норм.распр.'!K83 * $B$4</f>
        <v>4443.1984437049832</v>
      </c>
    </row>
    <row r="83" spans="3:17" x14ac:dyDescent="0.3">
      <c r="C83" s="4" t="s">
        <v>92</v>
      </c>
      <c r="D83" s="4" t="s">
        <v>5</v>
      </c>
      <c r="E83" s="4">
        <v>692</v>
      </c>
      <c r="F83" s="4" t="s">
        <v>310</v>
      </c>
      <c r="G83" s="4" t="s">
        <v>5</v>
      </c>
      <c r="H83" s="2">
        <f>$B$2 + $B$3*E83 + 'Станд.норм.распр.'!B84 * $B$4</f>
        <v>7625.5740085978468</v>
      </c>
      <c r="I83" s="2">
        <f>$B$2 + $B$3*E83 + 'Станд.норм.распр.'!C84 * $B$4</f>
        <v>7632.0356660469552</v>
      </c>
      <c r="J83" s="2">
        <f>$B$2 + $B$3*E83 + 'Станд.норм.распр.'!D84 * $B$4</f>
        <v>7628.5748772713996</v>
      </c>
      <c r="K83" s="2">
        <f>$B$2 + $B$3*E83 + 'Станд.норм.распр.'!E84 * $B$4</f>
        <v>7632.0296292758721</v>
      </c>
      <c r="L83" s="2">
        <f>$B$2 + $B$3*E83 + 'Станд.норм.распр.'!F84 * $B$4</f>
        <v>7616.1146543379582</v>
      </c>
      <c r="M83" s="2">
        <f>$B$2 + $B$3*E83 + 'Станд.норм.распр.'!G84 * $B$4</f>
        <v>7619.8422274681216</v>
      </c>
      <c r="N83" s="2">
        <f>$B$2 + $B$3*E83 + 'Станд.норм.распр.'!H84 * $B$4</f>
        <v>7617.586316809844</v>
      </c>
      <c r="O83" s="2">
        <f>$B$2 + $B$3*E83 + 'Станд.норм.распр.'!I84 * $B$4</f>
        <v>7637.730285223166</v>
      </c>
      <c r="P83" s="2">
        <f>$B$2 + $B$3*E83 + 'Станд.норм.распр.'!J84 * $B$4</f>
        <v>7621.8815510581189</v>
      </c>
      <c r="Q83" s="2">
        <f>$B$2 + $B$3*E83 + 'Станд.норм.распр.'!K84 * $B$4</f>
        <v>7623.130344127072</v>
      </c>
    </row>
    <row r="84" spans="3:17" x14ac:dyDescent="0.3">
      <c r="C84" s="4" t="s">
        <v>93</v>
      </c>
      <c r="D84" s="4" t="s">
        <v>5</v>
      </c>
      <c r="E84" s="4">
        <v>429</v>
      </c>
      <c r="F84" s="4" t="s">
        <v>311</v>
      </c>
      <c r="G84" s="4" t="s">
        <v>5</v>
      </c>
      <c r="H84" s="2">
        <f>$B$2 + $B$3*E84 + 'Станд.норм.распр.'!B85 * $B$4</f>
        <v>4739.5257904680038</v>
      </c>
      <c r="I84" s="2">
        <f>$B$2 + $B$3*E84 + 'Станд.норм.распр.'!C85 * $B$4</f>
        <v>4718.8740375202615</v>
      </c>
      <c r="J84" s="2">
        <f>$B$2 + $B$3*E84 + 'Станд.норм.распр.'!D85 * $B$4</f>
        <v>4738.7524084695615</v>
      </c>
      <c r="K84" s="2">
        <f>$B$2 + $B$3*E84 + 'Станд.норм.распр.'!E85 * $B$4</f>
        <v>4735.2096628526924</v>
      </c>
      <c r="L84" s="2">
        <f>$B$2 + $B$3*E84 + 'Станд.норм.распр.'!F85 * $B$4</f>
        <v>4717.7283197595971</v>
      </c>
      <c r="M84" s="2">
        <f>$B$2 + $B$3*E84 + 'Станд.норм.распр.'!G85 * $B$4</f>
        <v>4740.3651062848512</v>
      </c>
      <c r="N84" s="2">
        <f>$B$2 + $B$3*E84 + 'Станд.норм.распр.'!H85 * $B$4</f>
        <v>4727.7423816593073</v>
      </c>
      <c r="O84" s="2">
        <f>$B$2 + $B$3*E84 + 'Станд.норм.распр.'!I85 * $B$4</f>
        <v>4735.5863573682727</v>
      </c>
      <c r="P84" s="2">
        <f>$B$2 + $B$3*E84 + 'Станд.норм.распр.'!J85 * $B$4</f>
        <v>4742.9726639746223</v>
      </c>
      <c r="Q84" s="2">
        <f>$B$2 + $B$3*E84 + 'Станд.норм.распр.'!K85 * $B$4</f>
        <v>4734.7265881524509</v>
      </c>
    </row>
    <row r="85" spans="3:17" x14ac:dyDescent="0.3">
      <c r="C85" s="4" t="s">
        <v>94</v>
      </c>
      <c r="D85" s="4" t="s">
        <v>5</v>
      </c>
      <c r="E85" s="4">
        <v>902</v>
      </c>
      <c r="F85" s="4" t="s">
        <v>312</v>
      </c>
      <c r="G85" s="4" t="s">
        <v>5</v>
      </c>
      <c r="H85" s="2">
        <f>$B$2 + $B$3*E85 + 'Станд.норм.распр.'!B86 * $B$4</f>
        <v>9932.7517464938283</v>
      </c>
      <c r="I85" s="2">
        <f>$B$2 + $B$3*E85 + 'Станд.норм.распр.'!C86 * $B$4</f>
        <v>9939.1756076168676</v>
      </c>
      <c r="J85" s="2">
        <f>$B$2 + $B$3*E85 + 'Станд.норм.распр.'!D86 * $B$4</f>
        <v>9948.1126686281059</v>
      </c>
      <c r="K85" s="2">
        <f>$B$2 + $B$3*E85 + 'Станд.норм.распр.'!E86 * $B$4</f>
        <v>9921.9116906009149</v>
      </c>
      <c r="L85" s="2">
        <f>$B$2 + $B$3*E85 + 'Станд.норм.распр.'!F86 * $B$4</f>
        <v>9939.6970209293941</v>
      </c>
      <c r="M85" s="2">
        <f>$B$2 + $B$3*E85 + 'Станд.норм.распр.'!G86 * $B$4</f>
        <v>9936.9487655461271</v>
      </c>
      <c r="N85" s="2">
        <f>$B$2 + $B$3*E85 + 'Станд.норм.распр.'!H86 * $B$4</f>
        <v>9934.8640843184839</v>
      </c>
      <c r="O85" s="2">
        <f>$B$2 + $B$3*E85 + 'Станд.норм.распр.'!I86 * $B$4</f>
        <v>9922.1617152419058</v>
      </c>
      <c r="P85" s="2">
        <f>$B$2 + $B$3*E85 + 'Станд.норм.распр.'!J86 * $B$4</f>
        <v>9937.3235467122286</v>
      </c>
      <c r="Q85" s="2">
        <f>$B$2 + $B$3*E85 + 'Станд.норм.распр.'!K86 * $B$4</f>
        <v>9933.7377865434391</v>
      </c>
    </row>
    <row r="86" spans="3:17" x14ac:dyDescent="0.3">
      <c r="C86" s="4" t="s">
        <v>95</v>
      </c>
      <c r="D86" s="4" t="s">
        <v>5</v>
      </c>
      <c r="E86" s="4">
        <v>283</v>
      </c>
      <c r="F86" s="4" t="s">
        <v>313</v>
      </c>
      <c r="G86" s="4" t="s">
        <v>5</v>
      </c>
      <c r="H86" s="2">
        <f>$B$2 + $B$3*E86 + 'Станд.норм.распр.'!B87 * $B$4</f>
        <v>3124.7427592057211</v>
      </c>
      <c r="I86" s="2">
        <f>$B$2 + $B$3*E86 + 'Станд.норм.распр.'!C87 * $B$4</f>
        <v>3133.6129655351688</v>
      </c>
      <c r="J86" s="2">
        <f>$B$2 + $B$3*E86 + 'Станд.норм.распр.'!D87 * $B$4</f>
        <v>3116.4236998443375</v>
      </c>
      <c r="K86" s="2">
        <f>$B$2 + $B$3*E86 + 'Станд.норм.распр.'!E87 * $B$4</f>
        <v>3141.2019644044922</v>
      </c>
      <c r="L86" s="2">
        <f>$B$2 + $B$3*E86 + 'Станд.норм.распр.'!F87 * $B$4</f>
        <v>3127.7912610272178</v>
      </c>
      <c r="M86" s="2">
        <f>$B$2 + $B$3*E86 + 'Станд.норм.распр.'!G87 * $B$4</f>
        <v>3135.6915997599135</v>
      </c>
      <c r="N86" s="2">
        <f>$B$2 + $B$3*E86 + 'Станд.норм.распр.'!H87 * $B$4</f>
        <v>3126.5609118741413</v>
      </c>
      <c r="O86" s="2">
        <f>$B$2 + $B$3*E86 + 'Станд.норм.распр.'!I87 * $B$4</f>
        <v>3121.9250400277379</v>
      </c>
      <c r="P86" s="2">
        <f>$B$2 + $B$3*E86 + 'Станд.норм.распр.'!J87 * $B$4</f>
        <v>3130.5283596844238</v>
      </c>
      <c r="Q86" s="2">
        <f>$B$2 + $B$3*E86 + 'Станд.норм.распр.'!K87 * $B$4</f>
        <v>3125.8995744388085</v>
      </c>
    </row>
    <row r="87" spans="3:17" x14ac:dyDescent="0.3">
      <c r="C87" s="4" t="s">
        <v>96</v>
      </c>
      <c r="D87" s="4" t="s">
        <v>5</v>
      </c>
      <c r="E87" s="4">
        <v>677</v>
      </c>
      <c r="F87" s="4" t="s">
        <v>314</v>
      </c>
      <c r="G87" s="4" t="s">
        <v>5</v>
      </c>
      <c r="H87" s="2">
        <f>$B$2 + $B$3*E87 + 'Станд.норм.распр.'!B88 * $B$4</f>
        <v>7469.2163933257107</v>
      </c>
      <c r="I87" s="2">
        <f>$B$2 + $B$3*E87 + 'Станд.норм.распр.'!C88 * $B$4</f>
        <v>7448.6480501370679</v>
      </c>
      <c r="J87" s="2">
        <f>$B$2 + $B$3*E87 + 'Станд.норм.распр.'!D88 * $B$4</f>
        <v>7465.3576687858149</v>
      </c>
      <c r="K87" s="2">
        <f>$B$2 + $B$3*E87 + 'Станд.норм.распр.'!E88 * $B$4</f>
        <v>7459.0246999711962</v>
      </c>
      <c r="L87" s="2">
        <f>$B$2 + $B$3*E87 + 'Станд.норм.распр.'!F88 * $B$4</f>
        <v>7459.8876788847847</v>
      </c>
      <c r="M87" s="2">
        <f>$B$2 + $B$3*E87 + 'Станд.норм.распр.'!G88 * $B$4</f>
        <v>7467.0210140873096</v>
      </c>
      <c r="N87" s="2">
        <f>$B$2 + $B$3*E87 + 'Станд.норм.распр.'!H88 * $B$4</f>
        <v>7455.833567598107</v>
      </c>
      <c r="O87" s="2">
        <f>$B$2 + $B$3*E87 + 'Станд.норм.распр.'!I88 * $B$4</f>
        <v>7460.8330372363853</v>
      </c>
      <c r="P87" s="2">
        <f>$B$2 + $B$3*E87 + 'Станд.норм.распр.'!J88 * $B$4</f>
        <v>7477.3818731380161</v>
      </c>
      <c r="Q87" s="2">
        <f>$B$2 + $B$3*E87 + 'Станд.норм.распр.'!K88 * $B$4</f>
        <v>7455.5955141811282</v>
      </c>
    </row>
    <row r="88" spans="3:17" x14ac:dyDescent="0.3">
      <c r="C88" s="4" t="s">
        <v>97</v>
      </c>
      <c r="D88" s="4" t="s">
        <v>5</v>
      </c>
      <c r="E88" s="4">
        <v>316</v>
      </c>
      <c r="F88" s="4" t="s">
        <v>315</v>
      </c>
      <c r="G88" s="4" t="s">
        <v>5</v>
      </c>
      <c r="H88" s="2">
        <f>$B$2 + $B$3*E88 + 'Станд.норм.распр.'!B89 * $B$4</f>
        <v>3487.8165715219802</v>
      </c>
      <c r="I88" s="2">
        <f>$B$2 + $B$3*E88 + 'Станд.норм.распр.'!C89 * $B$4</f>
        <v>3491.2762450296577</v>
      </c>
      <c r="J88" s="2">
        <f>$B$2 + $B$3*E88 + 'Станд.норм.распр.'!D89 * $B$4</f>
        <v>3497.4559443419275</v>
      </c>
      <c r="K88" s="2">
        <f>$B$2 + $B$3*E88 + 'Станд.норм.распр.'!E89 * $B$4</f>
        <v>3496.3241418502002</v>
      </c>
      <c r="L88" s="2">
        <f>$B$2 + $B$3*E88 + 'Станд.норм.распр.'!F89 * $B$4</f>
        <v>3488.5538352120784</v>
      </c>
      <c r="M88" s="2">
        <f>$B$2 + $B$3*E88 + 'Станд.норм.распр.'!G89 * $B$4</f>
        <v>3504.3130409924197</v>
      </c>
      <c r="N88" s="2">
        <f>$B$2 + $B$3*E88 + 'Станд.норм.распр.'!H89 * $B$4</f>
        <v>3480.0464081292739</v>
      </c>
      <c r="O88" s="2">
        <f>$B$2 + $B$3*E88 + 'Станд.норм.распр.'!I89 * $B$4</f>
        <v>3505.4249119077576</v>
      </c>
      <c r="P88" s="2">
        <f>$B$2 + $B$3*E88 + 'Станд.норм.распр.'!J89 * $B$4</f>
        <v>3488.0421011969156</v>
      </c>
      <c r="Q88" s="2">
        <f>$B$2 + $B$3*E88 + 'Станд.норм.распр.'!K89 * $B$4</f>
        <v>3491.2741577393172</v>
      </c>
    </row>
    <row r="89" spans="3:17" x14ac:dyDescent="0.3">
      <c r="C89" s="4" t="s">
        <v>98</v>
      </c>
      <c r="D89" s="4" t="s">
        <v>5</v>
      </c>
      <c r="E89" s="4">
        <v>305</v>
      </c>
      <c r="F89" s="4" t="s">
        <v>316</v>
      </c>
      <c r="G89" s="4" t="s">
        <v>5</v>
      </c>
      <c r="H89" s="2">
        <f>$B$2 + $B$3*E89 + 'Станд.норм.распр.'!B90 * $B$4</f>
        <v>3361.8483805433643</v>
      </c>
      <c r="I89" s="2">
        <f>$B$2 + $B$3*E89 + 'Станд.норм.распр.'!C90 * $B$4</f>
        <v>3374.8651835388446</v>
      </c>
      <c r="J89" s="2">
        <f>$B$2 + $B$3*E89 + 'Станд.норм.распр.'!D90 * $B$4</f>
        <v>3366.1643751450756</v>
      </c>
      <c r="K89" s="2">
        <f>$B$2 + $B$3*E89 + 'Станд.норм.распр.'!E90 * $B$4</f>
        <v>3366.5769690535963</v>
      </c>
      <c r="L89" s="2">
        <f>$B$2 + $B$3*E89 + 'Станд.норм.распр.'!F90 * $B$4</f>
        <v>3373.6904790451663</v>
      </c>
      <c r="M89" s="2">
        <f>$B$2 + $B$3*E89 + 'Станд.норм.распр.'!G90 * $B$4</f>
        <v>3358.0723393036751</v>
      </c>
      <c r="N89" s="2">
        <f>$B$2 + $B$3*E89 + 'Станд.норм.распр.'!H90 * $B$4</f>
        <v>3368.4457630236866</v>
      </c>
      <c r="O89" s="2">
        <f>$B$2 + $B$3*E89 + 'Станд.норм.распр.'!I90 * $B$4</f>
        <v>3372.6095491395827</v>
      </c>
      <c r="P89" s="2">
        <f>$B$2 + $B$3*E89 + 'Станд.норм.распр.'!J90 * $B$4</f>
        <v>3379.8475251181517</v>
      </c>
      <c r="Q89" s="2">
        <f>$B$2 + $B$3*E89 + 'Станд.норм.распр.'!K90 * $B$4</f>
        <v>3382.7469760375097</v>
      </c>
    </row>
    <row r="90" spans="3:17" x14ac:dyDescent="0.3">
      <c r="C90" s="4" t="s">
        <v>99</v>
      </c>
      <c r="D90" s="4" t="s">
        <v>5</v>
      </c>
      <c r="E90" s="4">
        <v>970</v>
      </c>
      <c r="F90" s="4" t="s">
        <v>317</v>
      </c>
      <c r="G90" s="4" t="s">
        <v>5</v>
      </c>
      <c r="H90" s="2">
        <f>$B$2 + $B$3*E90 + 'Станд.норм.распр.'!B91 * $B$4</f>
        <v>10680.386716247798</v>
      </c>
      <c r="I90" s="2">
        <f>$B$2 + $B$3*E90 + 'Станд.норм.распр.'!C91 * $B$4</f>
        <v>10679.269258761255</v>
      </c>
      <c r="J90" s="2">
        <f>$B$2 + $B$3*E90 + 'Станд.норм.распр.'!D91 * $B$4</f>
        <v>10681.621767988676</v>
      </c>
      <c r="K90" s="2">
        <f>$B$2 + $B$3*E90 + 'Станд.норм.распр.'!E91 * $B$4</f>
        <v>10676.420107446378</v>
      </c>
      <c r="L90" s="2">
        <f>$B$2 + $B$3*E90 + 'Станд.норм.распр.'!F91 * $B$4</f>
        <v>10685.374378371111</v>
      </c>
      <c r="M90" s="2">
        <f>$B$2 + $B$3*E90 + 'Станд.норм.распр.'!G91 * $B$4</f>
        <v>10672.224490152788</v>
      </c>
      <c r="N90" s="2">
        <f>$B$2 + $B$3*E90 + 'Станд.норм.распр.'!H91 * $B$4</f>
        <v>10677.991038991226</v>
      </c>
      <c r="O90" s="2">
        <f>$B$2 + $B$3*E90 + 'Станд.норм.распр.'!I91 * $B$4</f>
        <v>10690.539235073433</v>
      </c>
      <c r="P90" s="2">
        <f>$B$2 + $B$3*E90 + 'Станд.норм.распр.'!J91 * $B$4</f>
        <v>10685.801679445634</v>
      </c>
      <c r="Q90" s="2">
        <f>$B$2 + $B$3*E90 + 'Станд.норм.распр.'!K91 * $B$4</f>
        <v>10682.871021489322</v>
      </c>
    </row>
    <row r="91" spans="3:17" x14ac:dyDescent="0.3">
      <c r="C91" s="4" t="s">
        <v>100</v>
      </c>
      <c r="D91" s="4" t="s">
        <v>5</v>
      </c>
      <c r="E91" s="4">
        <v>362</v>
      </c>
      <c r="F91" s="4" t="s">
        <v>318</v>
      </c>
      <c r="G91" s="4" t="s">
        <v>5</v>
      </c>
      <c r="H91" s="2">
        <f>$B$2 + $B$3*E91 + 'Станд.норм.распр.'!B92 * $B$4</f>
        <v>3978.8581894689705</v>
      </c>
      <c r="I91" s="2">
        <f>$B$2 + $B$3*E91 + 'Станд.норм.распр.'!C92 * $B$4</f>
        <v>3978.9294029041193</v>
      </c>
      <c r="J91" s="2">
        <f>$B$2 + $B$3*E91 + 'Станд.норм.распр.'!D92 * $B$4</f>
        <v>3983.1927548156236</v>
      </c>
      <c r="K91" s="2">
        <f>$B$2 + $B$3*E91 + 'Станд.норм.распр.'!E92 * $B$4</f>
        <v>4000.6597529035353</v>
      </c>
      <c r="L91" s="2">
        <f>$B$2 + $B$3*E91 + 'Станд.норм.распр.'!F92 * $B$4</f>
        <v>3998.4460280201311</v>
      </c>
      <c r="M91" s="2">
        <f>$B$2 + $B$3*E91 + 'Станд.норм.распр.'!G92 * $B$4</f>
        <v>4008.4623511510435</v>
      </c>
      <c r="N91" s="2">
        <f>$B$2 + $B$3*E91 + 'Станд.норм.распр.'!H92 * $B$4</f>
        <v>4006.4691863725602</v>
      </c>
      <c r="O91" s="2">
        <f>$B$2 + $B$3*E91 + 'Станд.норм.распр.'!I92 * $B$4</f>
        <v>4005.9726639746223</v>
      </c>
      <c r="P91" s="2">
        <f>$B$2 + $B$3*E91 + 'Станд.норм.распр.'!J92 * $B$4</f>
        <v>3999.0912912734784</v>
      </c>
      <c r="Q91" s="2">
        <f>$B$2 + $B$3*E91 + 'Станд.норм.распр.'!K92 * $B$4</f>
        <v>3994.640948888351</v>
      </c>
    </row>
    <row r="92" spans="3:17" x14ac:dyDescent="0.3">
      <c r="C92" s="4" t="s">
        <v>101</v>
      </c>
      <c r="D92" s="4" t="s">
        <v>5</v>
      </c>
      <c r="E92" s="4">
        <v>836</v>
      </c>
      <c r="F92" s="4" t="s">
        <v>319</v>
      </c>
      <c r="G92" s="4" t="s">
        <v>5</v>
      </c>
      <c r="H92" s="2">
        <f>$B$2 + $B$3*E92 + 'Станд.норм.распр.'!B93 * $B$4</f>
        <v>9231.8094828596804</v>
      </c>
      <c r="I92" s="2">
        <f>$B$2 + $B$3*E92 + 'Станд.норм.распр.'!C93 * $B$4</f>
        <v>9221.4402337203501</v>
      </c>
      <c r="J92" s="2">
        <f>$B$2 + $B$3*E92 + 'Станд.норм.распр.'!D93 * $B$4</f>
        <v>9195.0896225325559</v>
      </c>
      <c r="K92" s="2">
        <f>$B$2 + $B$3*E92 + 'Станд.норм.распр.'!E93 * $B$4</f>
        <v>9217.9433880273427</v>
      </c>
      <c r="L92" s="2">
        <f>$B$2 + $B$3*E92 + 'Станд.норм.распр.'!F93 * $B$4</f>
        <v>9205.9837361984683</v>
      </c>
      <c r="M92" s="2">
        <f>$B$2 + $B$3*E92 + 'Станд.норм.распр.'!G93 * $B$4</f>
        <v>9223.901517377235</v>
      </c>
      <c r="N92" s="2">
        <f>$B$2 + $B$3*E92 + 'Станд.норм.распр.'!H93 * $B$4</f>
        <v>9196.7795531827142</v>
      </c>
      <c r="O92" s="2">
        <f>$B$2 + $B$3*E92 + 'Станд.норм.распр.'!I93 * $B$4</f>
        <v>9221.5232679945475</v>
      </c>
      <c r="P92" s="2">
        <f>$B$2 + $B$3*E92 + 'Станд.норм.распр.'!J93 * $B$4</f>
        <v>9205.892253537022</v>
      </c>
      <c r="Q92" s="2">
        <f>$B$2 + $B$3*E92 + 'Станд.норм.распр.'!K93 * $B$4</f>
        <v>9221.4680642582243</v>
      </c>
    </row>
    <row r="93" spans="3:17" x14ac:dyDescent="0.3">
      <c r="C93" s="4" t="s">
        <v>102</v>
      </c>
      <c r="D93" s="4" t="s">
        <v>5</v>
      </c>
      <c r="E93" s="4">
        <v>66</v>
      </c>
      <c r="F93" s="4" t="s">
        <v>320</v>
      </c>
      <c r="G93" s="4" t="s">
        <v>5</v>
      </c>
      <c r="H93" s="2">
        <f>$B$2 + $B$3*E93 + 'Станд.норм.распр.'!B94 * $B$4</f>
        <v>747.99739154899726</v>
      </c>
      <c r="I93" s="2">
        <f>$B$2 + $B$3*E93 + 'Станд.норм.распр.'!C94 * $B$4</f>
        <v>749.20165575735155</v>
      </c>
      <c r="J93" s="2">
        <f>$B$2 + $B$3*E93 + 'Станд.норм.распр.'!D94 * $B$4</f>
        <v>724.14106162273674</v>
      </c>
      <c r="K93" s="2">
        <f>$B$2 + $B$3*E93 + 'Станд.норм.распр.'!E94 * $B$4</f>
        <v>746.52489006824908</v>
      </c>
      <c r="L93" s="2">
        <f>$B$2 + $B$3*E93 + 'Станд.норм.распр.'!F94 * $B$4</f>
        <v>748.24672042654129</v>
      </c>
      <c r="M93" s="2">
        <f>$B$2 + $B$3*E93 + 'Станд.норм.распр.'!G94 * $B$4</f>
        <v>740.42392457544338</v>
      </c>
      <c r="N93" s="2">
        <f>$B$2 + $B$3*E93 + 'Станд.норм.распр.'!H94 * $B$4</f>
        <v>742.34259459830355</v>
      </c>
      <c r="O93" s="2">
        <f>$B$2 + $B$3*E93 + 'Станд.норм.распр.'!I94 * $B$4</f>
        <v>745.61625370210095</v>
      </c>
      <c r="P93" s="2">
        <f>$B$2 + $B$3*E93 + 'Станд.норм.распр.'!J94 * $B$4</f>
        <v>711.36532329022884</v>
      </c>
      <c r="Q93" s="2">
        <f>$B$2 + $B$3*E93 + 'Станд.норм.распр.'!K94 * $B$4</f>
        <v>744.21346157963853</v>
      </c>
    </row>
    <row r="94" spans="3:17" x14ac:dyDescent="0.3">
      <c r="C94" s="4" t="s">
        <v>103</v>
      </c>
      <c r="D94" s="4" t="s">
        <v>5</v>
      </c>
      <c r="E94" s="4">
        <v>590</v>
      </c>
      <c r="F94" s="4" t="s">
        <v>321</v>
      </c>
      <c r="G94" s="4" t="s">
        <v>5</v>
      </c>
      <c r="H94" s="2">
        <f>$B$2 + $B$3*E94 + 'Станд.норм.распр.'!B95 * $B$4</f>
        <v>6502.2965459821571</v>
      </c>
      <c r="I94" s="2">
        <f>$B$2 + $B$3*E94 + 'Станд.норм.распр.'!C95 * $B$4</f>
        <v>6507.4341348964517</v>
      </c>
      <c r="J94" s="2">
        <f>$B$2 + $B$3*E94 + 'Станд.норм.распр.'!D95 * $B$4</f>
        <v>6511.5808748078998</v>
      </c>
      <c r="K94" s="2">
        <f>$B$2 + $B$3*E94 + 'Станд.норм.распр.'!E95 * $B$4</f>
        <v>6495.283127656061</v>
      </c>
      <c r="L94" s="2">
        <f>$B$2 + $B$3*E94 + 'Станд.норм.распр.'!F95 * $B$4</f>
        <v>6495.6849310466205</v>
      </c>
      <c r="M94" s="2">
        <f>$B$2 + $B$3*E94 + 'Станд.норм.распр.'!G95 * $B$4</f>
        <v>6486.6685325388098</v>
      </c>
      <c r="N94" s="2">
        <f>$B$2 + $B$3*E94 + 'Станд.норм.распр.'!H95 * $B$4</f>
        <v>6496.7488147477561</v>
      </c>
      <c r="O94" s="2">
        <f>$B$2 + $B$3*E94 + 'Станд.норм.распр.'!I95 * $B$4</f>
        <v>6500.0831280532148</v>
      </c>
      <c r="P94" s="2">
        <f>$B$2 + $B$3*E94 + 'Станд.норм.распр.'!J95 * $B$4</f>
        <v>6499.347327512718</v>
      </c>
      <c r="Q94" s="2">
        <f>$B$2 + $B$3*E94 + 'Станд.норм.распр.'!K95 * $B$4</f>
        <v>6496.6109236639459</v>
      </c>
    </row>
    <row r="95" spans="3:17" x14ac:dyDescent="0.3">
      <c r="C95" s="4" t="s">
        <v>104</v>
      </c>
      <c r="D95" s="4" t="s">
        <v>5</v>
      </c>
      <c r="E95" s="4">
        <v>852</v>
      </c>
      <c r="F95" s="4" t="s">
        <v>322</v>
      </c>
      <c r="G95" s="4" t="s">
        <v>5</v>
      </c>
      <c r="H95" s="2">
        <f>$B$2 + $B$3*E95 + 'Станд.норм.распр.'!B96 * $B$4</f>
        <v>9379.5278242446657</v>
      </c>
      <c r="I95" s="2">
        <f>$B$2 + $B$3*E95 + 'Станд.норм.распр.'!C96 * $B$4</f>
        <v>9395.4262850325322</v>
      </c>
      <c r="J95" s="2">
        <f>$B$2 + $B$3*E95 + 'Станд.норм.распр.'!D96 * $B$4</f>
        <v>9368.5489502200217</v>
      </c>
      <c r="K95" s="2">
        <f>$B$2 + $B$3*E95 + 'Станд.норм.распр.'!E96 * $B$4</f>
        <v>9379.1235652184114</v>
      </c>
      <c r="L95" s="2">
        <f>$B$2 + $B$3*E95 + 'Станд.норм.распр.'!F96 * $B$4</f>
        <v>9390.8449589939992</v>
      </c>
      <c r="M95" s="2">
        <f>$B$2 + $B$3*E95 + 'Станд.норм.распр.'!G96 * $B$4</f>
        <v>9390.7726916818647</v>
      </c>
      <c r="N95" s="2">
        <f>$B$2 + $B$3*E95 + 'Станд.норм.распр.'!H96 * $B$4</f>
        <v>9379.0588489860384</v>
      </c>
      <c r="O95" s="2">
        <f>$B$2 + $B$3*E95 + 'Станд.норм.распр.'!I96 * $B$4</f>
        <v>9368.2162862983532</v>
      </c>
      <c r="P95" s="2">
        <f>$B$2 + $B$3*E95 + 'Станд.норм.распр.'!J96 * $B$4</f>
        <v>9393.8030893746472</v>
      </c>
      <c r="Q95" s="2">
        <f>$B$2 + $B$3*E95 + 'Станд.норм.распр.'!K96 * $B$4</f>
        <v>9395.806437901716</v>
      </c>
    </row>
    <row r="96" spans="3:17" x14ac:dyDescent="0.3">
      <c r="C96" s="4" t="s">
        <v>105</v>
      </c>
      <c r="D96" s="4" t="s">
        <v>5</v>
      </c>
      <c r="E96" s="4">
        <v>963</v>
      </c>
      <c r="F96" s="4" t="s">
        <v>323</v>
      </c>
      <c r="G96" s="4" t="s">
        <v>5</v>
      </c>
      <c r="H96" s="2">
        <f>$B$2 + $B$3*E96 + 'Станд.норм.распр.'!B97 * $B$4</f>
        <v>10613.210957508301</v>
      </c>
      <c r="I96" s="2">
        <f>$B$2 + $B$3*E96 + 'Станд.норм.распр.'!C97 * $B$4</f>
        <v>10601.067388797703</v>
      </c>
      <c r="J96" s="2">
        <f>$B$2 + $B$3*E96 + 'Станд.норм.распр.'!D97 * $B$4</f>
        <v>10609.504666554159</v>
      </c>
      <c r="K96" s="2">
        <f>$B$2 + $B$3*E96 + 'Станд.норм.распр.'!E97 * $B$4</f>
        <v>10609.979259079439</v>
      </c>
      <c r="L96" s="2">
        <f>$B$2 + $B$3*E96 + 'Станд.норм.распр.'!F97 * $B$4</f>
        <v>10607.219994262807</v>
      </c>
      <c r="M96" s="2">
        <f>$B$2 + $B$3*E96 + 'Станд.норм.распр.'!G97 * $B$4</f>
        <v>10612.879661557628</v>
      </c>
      <c r="N96" s="2">
        <f>$B$2 + $B$3*E96 + 'Станд.норм.распр.'!H97 * $B$4</f>
        <v>10617.104756711371</v>
      </c>
      <c r="O96" s="2">
        <f>$B$2 + $B$3*E96 + 'Станд.норм.распр.'!I97 * $B$4</f>
        <v>10615.140432328219</v>
      </c>
      <c r="P96" s="2">
        <f>$B$2 + $B$3*E96 + 'Станд.норм.распр.'!J97 * $B$4</f>
        <v>10603.444853422872</v>
      </c>
      <c r="Q96" s="2">
        <f>$B$2 + $B$3*E96 + 'Станд.норм.распр.'!K97 * $B$4</f>
        <v>10600.949681993399</v>
      </c>
    </row>
    <row r="97" spans="2:22" x14ac:dyDescent="0.3">
      <c r="C97" s="4" t="s">
        <v>106</v>
      </c>
      <c r="D97" s="4" t="s">
        <v>5</v>
      </c>
      <c r="E97" s="4">
        <v>802</v>
      </c>
      <c r="F97" s="4" t="s">
        <v>324</v>
      </c>
      <c r="G97" s="4" t="s">
        <v>5</v>
      </c>
      <c r="H97" s="2">
        <f>$B$2 + $B$3*E97 + 'Станд.норм.распр.'!B98 * $B$4</f>
        <v>8827.028723798081</v>
      </c>
      <c r="I97" s="2">
        <f>$B$2 + $B$3*E97 + 'Станд.норм.распр.'!C98 * $B$4</f>
        <v>8853.7067704498768</v>
      </c>
      <c r="J97" s="2">
        <f>$B$2 + $B$3*E97 + 'Станд.норм.распр.'!D98 * $B$4</f>
        <v>8836.3191814812453</v>
      </c>
      <c r="K97" s="2">
        <f>$B$2 + $B$3*E97 + 'Станд.норм.распр.'!E98 * $B$4</f>
        <v>8835.0502143646008</v>
      </c>
      <c r="L97" s="2">
        <f>$B$2 + $B$3*E97 + 'Станд.норм.распр.'!F98 * $B$4</f>
        <v>8837.6536117527867</v>
      </c>
      <c r="M97" s="2">
        <f>$B$2 + $B$3*E97 + 'Станд.норм.распр.'!G98 * $B$4</f>
        <v>8848.9509817270446</v>
      </c>
      <c r="N97" s="2">
        <f>$B$2 + $B$3*E97 + 'Станд.норм.распр.'!H98 * $B$4</f>
        <v>8845.454934115638</v>
      </c>
      <c r="O97" s="2">
        <f>$B$2 + $B$3*E97 + 'Станд.норм.распр.'!I98 * $B$4</f>
        <v>8832.2572428557905</v>
      </c>
      <c r="P97" s="2">
        <f>$B$2 + $B$3*E97 + 'Станд.норм.распр.'!J98 * $B$4</f>
        <v>8829.1124943941541</v>
      </c>
      <c r="Q97" s="2">
        <f>$B$2 + $B$3*E97 + 'Станд.норм.распр.'!K98 * $B$4</f>
        <v>8832.3314235174039</v>
      </c>
    </row>
    <row r="98" spans="2:22" x14ac:dyDescent="0.3">
      <c r="C98" s="4" t="s">
        <v>107</v>
      </c>
      <c r="D98" s="4" t="s">
        <v>5</v>
      </c>
      <c r="E98" s="4">
        <v>686</v>
      </c>
      <c r="F98" s="4" t="s">
        <v>325</v>
      </c>
      <c r="G98" s="4" t="s">
        <v>5</v>
      </c>
      <c r="H98" s="2">
        <f>$B$2 + $B$3*E98 + 'Станд.норм.распр.'!B99 * $B$4</f>
        <v>7548.8990942054079</v>
      </c>
      <c r="I98" s="2">
        <f>$B$2 + $B$3*E98 + 'Станд.норм.распр.'!C99 * $B$4</f>
        <v>7562.7590397166932</v>
      </c>
      <c r="J98" s="2">
        <f>$B$2 + $B$3*E98 + 'Станд.норм.распр.'!D99 * $B$4</f>
        <v>7541.2148780620191</v>
      </c>
      <c r="K98" s="2">
        <f>$B$2 + $B$3*E98 + 'Станд.норм.распр.'!E99 * $B$4</f>
        <v>7561.8776097476803</v>
      </c>
      <c r="L98" s="2">
        <f>$B$2 + $B$3*E98 + 'Станд.норм.распр.'!F99 * $B$4</f>
        <v>7546.7937140152208</v>
      </c>
      <c r="M98" s="2">
        <f>$B$2 + $B$3*E98 + 'Станд.норм.распр.'!G99 * $B$4</f>
        <v>7558.961184246582</v>
      </c>
      <c r="N98" s="2">
        <f>$B$2 + $B$3*E98 + 'Станд.норм.распр.'!H99 * $B$4</f>
        <v>7564.8203105507127</v>
      </c>
      <c r="O98" s="2">
        <f>$B$2 + $B$3*E98 + 'Станд.норм.распр.'!I99 * $B$4</f>
        <v>7544.0267446415965</v>
      </c>
      <c r="P98" s="2">
        <f>$B$2 + $B$3*E98 + 'Станд.норм.распр.'!J99 * $B$4</f>
        <v>7563.6670724057331</v>
      </c>
      <c r="Q98" s="2">
        <f>$B$2 + $B$3*E98 + 'Станд.норм.распр.'!K99 * $B$4</f>
        <v>7551.7511718194874</v>
      </c>
    </row>
    <row r="99" spans="2:22" x14ac:dyDescent="0.3">
      <c r="C99" s="4" t="s">
        <v>108</v>
      </c>
      <c r="D99" s="4" t="s">
        <v>5</v>
      </c>
      <c r="E99" s="4">
        <v>256</v>
      </c>
      <c r="F99" s="4" t="s">
        <v>326</v>
      </c>
      <c r="G99" s="4" t="s">
        <v>5</v>
      </c>
      <c r="H99" s="2">
        <f>$B$2 + $B$3*E99 + 'Станд.норм.распр.'!B100 * $B$4</f>
        <v>2820.006954249111</v>
      </c>
      <c r="I99" s="2">
        <f>$B$2 + $B$3*E99 + 'Станд.норм.распр.'!C100 * $B$4</f>
        <v>2855.6754719885066</v>
      </c>
      <c r="J99" s="2">
        <f>$B$2 + $B$3*E99 + 'Станд.норм.распр.'!D100 * $B$4</f>
        <v>2837.3468527261866</v>
      </c>
      <c r="K99" s="2">
        <f>$B$2 + $B$3*E99 + 'Станд.норм.распр.'!E100 * $B$4</f>
        <v>2828.2818326316192</v>
      </c>
      <c r="L99" s="2">
        <f>$B$2 + $B$3*E99 + 'Станд.норм.распр.'!F100 * $B$4</f>
        <v>2817.9466759011848</v>
      </c>
      <c r="M99" s="2">
        <f>$B$2 + $B$3*E99 + 'Станд.норм.распр.'!G100 * $B$4</f>
        <v>2821.5767193670035</v>
      </c>
      <c r="N99" s="2">
        <f>$B$2 + $B$3*E99 + 'Станд.норм.распр.'!H100 * $B$4</f>
        <v>2829.0546928074764</v>
      </c>
      <c r="O99" s="2">
        <f>$B$2 + $B$3*E99 + 'Станд.норм.распр.'!I100 * $B$4</f>
        <v>2836.0434217630245</v>
      </c>
      <c r="P99" s="2">
        <f>$B$2 + $B$3*E99 + 'Станд.норм.распр.'!J100 * $B$4</f>
        <v>2812.7557076059747</v>
      </c>
      <c r="Q99" s="2">
        <f>$B$2 + $B$3*E99 + 'Станд.норм.распр.'!K100 * $B$4</f>
        <v>2821.9513879831356</v>
      </c>
    </row>
    <row r="100" spans="2:22" x14ac:dyDescent="0.3">
      <c r="C100" s="4" t="s">
        <v>109</v>
      </c>
      <c r="D100" s="4" t="s">
        <v>5</v>
      </c>
      <c r="E100" s="4">
        <v>240</v>
      </c>
      <c r="F100" s="4" t="s">
        <v>327</v>
      </c>
      <c r="G100" s="4" t="s">
        <v>5</v>
      </c>
      <c r="H100" s="2">
        <f>$B$2 + $B$3*E100 + 'Станд.норм.распр.'!B101 * $B$4</f>
        <v>2663.6913299785228</v>
      </c>
      <c r="I100" s="2">
        <f>$B$2 + $B$3*E100 + 'Станд.норм.распр.'!C101 * $B$4</f>
        <v>2647.4266520540405</v>
      </c>
      <c r="J100" s="2">
        <f>$B$2 + $B$3*E100 + 'Станд.норм.распр.'!D101 * $B$4</f>
        <v>2639.8878576105926</v>
      </c>
      <c r="K100" s="2">
        <f>$B$2 + $B$3*E100 + 'Станд.норм.распр.'!E101 * $B$4</f>
        <v>2656.7381156542106</v>
      </c>
      <c r="L100" s="2">
        <f>$B$2 + $B$3*E100 + 'Станд.норм.распр.'!F101 * $B$4</f>
        <v>2648.2230761007522</v>
      </c>
      <c r="M100" s="2">
        <f>$B$2 + $B$3*E100 + 'Станд.норм.распр.'!G101 * $B$4</f>
        <v>2660.1352972807363</v>
      </c>
      <c r="N100" s="2">
        <f>$B$2 + $B$3*E100 + 'Станд.норм.распр.'!H101 * $B$4</f>
        <v>2657.0768910619372</v>
      </c>
      <c r="O100" s="2">
        <f>$B$2 + $B$3*E100 + 'Станд.норм.распр.'!I101 * $B$4</f>
        <v>2664.8703216028516</v>
      </c>
      <c r="P100" s="2">
        <f>$B$2 + $B$3*E100 + 'Станд.норм.распр.'!J101 * $B$4</f>
        <v>2661.1176805249706</v>
      </c>
      <c r="Q100" s="2">
        <f>$B$2 + $B$3*E100 + 'Станд.норм.распр.'!K101 * $B$4</f>
        <v>2655.1289785106783</v>
      </c>
    </row>
    <row r="101" spans="2:22" x14ac:dyDescent="0.3">
      <c r="C101" s="4" t="s">
        <v>110</v>
      </c>
      <c r="D101" s="4" t="s">
        <v>5</v>
      </c>
      <c r="E101" s="4">
        <v>629</v>
      </c>
      <c r="F101" s="4" t="s">
        <v>328</v>
      </c>
      <c r="G101" s="4" t="s">
        <v>5</v>
      </c>
      <c r="H101" s="2">
        <f>$B$2 + $B$3*E101 + 'Станд.норм.распр.'!B102 * $B$4</f>
        <v>6947.9481000360001</v>
      </c>
      <c r="I101" s="2">
        <f>$B$2 + $B$3*E101 + 'Станд.норм.распр.'!C102 * $B$4</f>
        <v>6930.9407755290003</v>
      </c>
      <c r="J101" s="2">
        <f>$B$2 + $B$3*E101 + 'Станд.норм.распр.'!D102 * $B$4</f>
        <v>6916.693479177</v>
      </c>
      <c r="K101" s="2">
        <f>$B$2 + $B$3*E101 + 'Станд.норм.распр.'!E102 * $B$4</f>
        <v>6946.0841854560003</v>
      </c>
      <c r="L101" s="2">
        <f>$B$2 + $B$3*E101 + 'Станд.норм.распр.'!F102 * $B$4</f>
        <v>6922.9596190080001</v>
      </c>
      <c r="M101" s="2">
        <f>$B$2 + $B$3*E101 + 'Станд.норм.распр.'!G102 * $B$4</f>
        <v>6924.590296032</v>
      </c>
      <c r="N101" s="2">
        <f>$B$2 + $B$3*E101 + 'Станд.норм.распр.'!H102 * $B$4</f>
        <v>6941.6557277430002</v>
      </c>
      <c r="O101" s="2">
        <f>$B$2 + $B$3*E101 + 'Станд.норм.распр.'!I102 * $B$4</f>
        <v>6934.1423790990002</v>
      </c>
      <c r="P101" s="2">
        <f>$B$2 + $B$3*E101 + 'Станд.норм.распр.'!J102 * $B$4</f>
        <v>6917.5003080269998</v>
      </c>
      <c r="Q101" s="2">
        <f>$B$2 + $B$3*E101 + 'Станд.норм.распр.'!K102 * $B$4</f>
        <v>6935.9044243079998</v>
      </c>
    </row>
    <row r="103" spans="2:22" x14ac:dyDescent="0.3">
      <c r="C103" s="8" t="s">
        <v>339</v>
      </c>
      <c r="D103" s="9"/>
      <c r="E103" s="8" t="s">
        <v>340</v>
      </c>
      <c r="F103" s="9"/>
      <c r="G103" s="8" t="s">
        <v>341</v>
      </c>
      <c r="H103" s="9"/>
      <c r="I103" s="8" t="s">
        <v>342</v>
      </c>
      <c r="J103" s="9"/>
      <c r="K103" s="8" t="s">
        <v>343</v>
      </c>
      <c r="L103" s="9"/>
      <c r="M103" s="8" t="s">
        <v>344</v>
      </c>
      <c r="N103" s="9"/>
      <c r="O103" s="8" t="s">
        <v>345</v>
      </c>
      <c r="P103" s="9"/>
      <c r="Q103" s="8" t="s">
        <v>346</v>
      </c>
      <c r="R103" s="9"/>
      <c r="S103" s="8" t="s">
        <v>347</v>
      </c>
      <c r="T103" s="9"/>
      <c r="U103" s="8" t="s">
        <v>348</v>
      </c>
      <c r="V103" s="9"/>
    </row>
    <row r="104" spans="2:22" x14ac:dyDescent="0.3">
      <c r="C104" s="10" cm="1">
        <f t="array" ref="C104:D108">LINEST(H2:H101,$E$2:$E$101,1,1)</f>
        <v>11.002207636744096</v>
      </c>
      <c r="D104" s="11">
        <v>12.82551517579941</v>
      </c>
      <c r="E104" s="10" cm="1">
        <f t="array" ref="E104:F108">LINEST(I2:I101,$E$2:$E$101,1,1)</f>
        <v>11.000422797471638</v>
      </c>
      <c r="F104" s="11">
        <v>13.775067517115531</v>
      </c>
      <c r="G104" s="10" cm="1">
        <f t="array" ref="G104:H108">LINEST(J2:J101,$E$2:$E$101,1,1)</f>
        <v>10.998469471111898</v>
      </c>
      <c r="H104" s="11">
        <v>14.814256673727868</v>
      </c>
      <c r="I104" s="10" cm="1">
        <f t="array" ref="I104:J108">LINEST(K2:K101,$E$2:$E$101,1,1)</f>
        <v>10.995686647765362</v>
      </c>
      <c r="J104" s="11">
        <v>16.294746522340574</v>
      </c>
      <c r="K104" s="10" cm="1">
        <f t="array" ref="K104:L108">LINEST(L2:L101,$E$2:$E$101,1,1)</f>
        <v>10.998763366468342</v>
      </c>
      <c r="L104" s="11">
        <v>14.657901405195844</v>
      </c>
      <c r="M104" s="10" cm="1">
        <f t="array" ref="M104:N108">LINEST(M2:M101,$E$2:$E$101,1,1)</f>
        <v>10.994477331015542</v>
      </c>
      <c r="N104" s="11">
        <v>16.938115126434241</v>
      </c>
      <c r="O104" s="10" cm="1">
        <f t="array" ref="O104:P108">LINEST(N2:N101,$E$2:$E$101,1,1)</f>
        <v>11.00108574009052</v>
      </c>
      <c r="P104" s="11">
        <v>13.422375414446833</v>
      </c>
      <c r="Q104" s="10" cm="1">
        <f t="array" ref="Q104:R108">LINEST(O2:O101,$E$2:$E$101,1,1)</f>
        <v>10.999714816944957</v>
      </c>
      <c r="R104" s="11">
        <v>14.151720237134214</v>
      </c>
      <c r="S104" s="10" cm="1">
        <f t="array" ref="S104:T108">LINEST(P2:P101,$E$2:$E$101,1,1)</f>
        <v>11.00264784561983</v>
      </c>
      <c r="T104" s="11">
        <v>12.591319651784033</v>
      </c>
      <c r="U104" s="10" cm="1">
        <f t="array" ref="U104:V108">LINEST(Q2:Q101,$E$2:$E$101,1,1)</f>
        <v>10.999008598075429</v>
      </c>
      <c r="V104" s="11">
        <v>14.527435737875749</v>
      </c>
    </row>
    <row r="105" spans="2:22" x14ac:dyDescent="0.3">
      <c r="C105" s="10">
        <v>2.8746203710838789E-3</v>
      </c>
      <c r="D105" s="11">
        <v>1.721810329664496</v>
      </c>
      <c r="E105" s="10">
        <v>3.5244492873716844E-3</v>
      </c>
      <c r="F105" s="11">
        <v>2.1110381219093388</v>
      </c>
      <c r="G105" s="10">
        <v>3.416084535143909E-3</v>
      </c>
      <c r="H105" s="11">
        <v>2.0461309252463704</v>
      </c>
      <c r="I105" s="10">
        <v>2.895137850612147E-3</v>
      </c>
      <c r="J105" s="11">
        <v>1.7340996769973867</v>
      </c>
      <c r="K105" s="10">
        <v>2.8426739790797964E-3</v>
      </c>
      <c r="L105" s="11">
        <v>1.7026754107369575</v>
      </c>
      <c r="M105" s="10">
        <v>3.0646512205171274E-3</v>
      </c>
      <c r="N105" s="11">
        <v>1.8356330391952562</v>
      </c>
      <c r="O105" s="10">
        <v>3.4287145445274468E-3</v>
      </c>
      <c r="P105" s="11">
        <v>2.0536959174238016</v>
      </c>
      <c r="Q105" s="10">
        <v>3.4913181285570558E-3</v>
      </c>
      <c r="R105" s="11">
        <v>2.0911935636314491</v>
      </c>
      <c r="S105" s="10">
        <v>2.8241902561931117E-3</v>
      </c>
      <c r="T105" s="11">
        <v>1.6916042218881324</v>
      </c>
      <c r="U105" s="10">
        <v>2.8159199362519202E-3</v>
      </c>
      <c r="V105" s="11">
        <v>1.6866505513277985</v>
      </c>
    </row>
    <row r="106" spans="2:22" x14ac:dyDescent="0.3">
      <c r="C106" s="10">
        <v>0.99999331002500658</v>
      </c>
      <c r="D106" s="11">
        <v>7.9106915010057444</v>
      </c>
      <c r="E106" s="10">
        <v>0.9999899402894733</v>
      </c>
      <c r="F106" s="11">
        <v>9.6989610537075688</v>
      </c>
      <c r="G106" s="10">
        <v>0.99999054601995829</v>
      </c>
      <c r="H106" s="11">
        <v>9.400751198562892</v>
      </c>
      <c r="I106" s="10">
        <v>0.99999320613504661</v>
      </c>
      <c r="J106" s="11">
        <v>7.967153722090309</v>
      </c>
      <c r="K106" s="10">
        <v>0.99999345379466109</v>
      </c>
      <c r="L106" s="11">
        <v>7.8227779614453166</v>
      </c>
      <c r="M106" s="10">
        <v>0.99999238559970838</v>
      </c>
      <c r="N106" s="11">
        <v>8.4336389624034709</v>
      </c>
      <c r="O106" s="10">
        <v>0.99999048051394857</v>
      </c>
      <c r="P106" s="11">
        <v>9.4355078255224036</v>
      </c>
      <c r="Q106" s="10">
        <v>0.99999012725809522</v>
      </c>
      <c r="R106" s="11">
        <v>9.6077871445925584</v>
      </c>
      <c r="S106" s="10">
        <v>0.99999354320874401</v>
      </c>
      <c r="T106" s="11">
        <v>7.7719124520314571</v>
      </c>
      <c r="U106" s="10">
        <v>0.99999357672067801</v>
      </c>
      <c r="V106" s="11">
        <v>7.7491532903948492</v>
      </c>
    </row>
    <row r="107" spans="2:22" x14ac:dyDescent="0.3">
      <c r="C107" s="10">
        <v>14648686.20266065</v>
      </c>
      <c r="D107" s="11">
        <v>98</v>
      </c>
      <c r="E107" s="10">
        <v>9741733.013923645</v>
      </c>
      <c r="F107" s="11">
        <v>98</v>
      </c>
      <c r="G107" s="10">
        <v>10365906.536459282</v>
      </c>
      <c r="H107" s="11">
        <v>98</v>
      </c>
      <c r="I107" s="10">
        <v>14424680.925053112</v>
      </c>
      <c r="J107" s="11">
        <v>98</v>
      </c>
      <c r="K107" s="10">
        <v>14970407.036919357</v>
      </c>
      <c r="L107" s="11">
        <v>98</v>
      </c>
      <c r="M107" s="10">
        <v>12870252.421129642</v>
      </c>
      <c r="N107" s="11">
        <v>98</v>
      </c>
      <c r="O107" s="10">
        <v>10294575.417360291</v>
      </c>
      <c r="P107" s="11">
        <v>98</v>
      </c>
      <c r="Q107" s="10">
        <v>9926222.4634749833</v>
      </c>
      <c r="R107" s="11">
        <v>98</v>
      </c>
      <c r="S107" s="10">
        <v>15177719.605554704</v>
      </c>
      <c r="T107" s="11">
        <v>98</v>
      </c>
      <c r="U107" s="10">
        <v>15256906.263127338</v>
      </c>
      <c r="V107" s="11">
        <v>98</v>
      </c>
    </row>
    <row r="108" spans="2:22" x14ac:dyDescent="0.3">
      <c r="C108" s="12">
        <v>916700720.17655551</v>
      </c>
      <c r="D108" s="13">
        <v>6132.7459223602827</v>
      </c>
      <c r="E108" s="12">
        <v>916403319.72989833</v>
      </c>
      <c r="F108" s="13">
        <v>9218.8448610909491</v>
      </c>
      <c r="G108" s="12">
        <v>916077900.26796913</v>
      </c>
      <c r="H108" s="13">
        <v>8660.6640635336025</v>
      </c>
      <c r="I108" s="12">
        <v>915614388.4191432</v>
      </c>
      <c r="J108" s="13">
        <v>6220.6027662789111</v>
      </c>
      <c r="K108" s="12">
        <v>916126858.83240652</v>
      </c>
      <c r="L108" s="13">
        <v>5997.1937933393056</v>
      </c>
      <c r="M108" s="12">
        <v>915412999.0993948</v>
      </c>
      <c r="N108" s="13">
        <v>6970.3740825206487</v>
      </c>
      <c r="O108" s="12">
        <v>916513777.50668693</v>
      </c>
      <c r="P108" s="13">
        <v>8724.8231766984627</v>
      </c>
      <c r="Q108" s="12">
        <v>916285365.20417655</v>
      </c>
      <c r="R108" s="13">
        <v>9046.3382339482068</v>
      </c>
      <c r="S108" s="12">
        <v>916774077.79345167</v>
      </c>
      <c r="T108" s="13">
        <v>5919.4570698800781</v>
      </c>
      <c r="U108" s="12">
        <v>916167711.74631643</v>
      </c>
      <c r="V108" s="13">
        <v>5884.8389183676572</v>
      </c>
    </row>
    <row r="110" spans="2:22" x14ac:dyDescent="0.3">
      <c r="C110" t="s">
        <v>351</v>
      </c>
      <c r="F110" s="2" t="s">
        <v>358</v>
      </c>
    </row>
    <row r="111" spans="2:22" x14ac:dyDescent="0.3">
      <c r="C111" s="4"/>
      <c r="F111" t="s">
        <v>354</v>
      </c>
      <c r="G111" t="s">
        <v>355</v>
      </c>
      <c r="I111" s="4"/>
      <c r="L111" s="4"/>
      <c r="O111" s="4"/>
    </row>
    <row r="112" spans="2:22" x14ac:dyDescent="0.3">
      <c r="B112" s="14"/>
      <c r="C112" s="15" t="s">
        <v>354</v>
      </c>
      <c r="D112" s="9" t="s">
        <v>355</v>
      </c>
      <c r="E112" t="s">
        <v>360</v>
      </c>
      <c r="F112">
        <v>11</v>
      </c>
      <c r="G112">
        <v>14</v>
      </c>
    </row>
    <row r="113" spans="2:10" x14ac:dyDescent="0.3">
      <c r="B113" s="10" t="s">
        <v>357</v>
      </c>
      <c r="C113">
        <f>AVERAGE(C104,E104,G104,I104,K104,M104,O104,Q104,S104,U104)</f>
        <v>10.999248425130762</v>
      </c>
      <c r="D113" s="11">
        <f>AVERAGE(D104,F104,H104,J104,L104,N104,P104,R104,T104,V104)</f>
        <v>14.39984534618543</v>
      </c>
      <c r="E113">
        <f>AVERAGE(D106,F106,H106,J106,L106,N106,P106,R106,T106,V106)</f>
        <v>8.5798335111756572</v>
      </c>
    </row>
    <row r="114" spans="2:10" x14ac:dyDescent="0.3">
      <c r="B114" s="10" t="s">
        <v>352</v>
      </c>
      <c r="C114">
        <f>MIN(C104,E104,G104,I104,K104,M104,O104,Q104,S104,U104)</f>
        <v>10.994477331015542</v>
      </c>
      <c r="D114" s="11">
        <f>MIN(D104,F104,H104,J104,L104,N104,P104,R104,T104,V104)</f>
        <v>12.591319651784033</v>
      </c>
      <c r="E114" s="11">
        <f>MIN(D106,F106,H106,J106,L106,N106,P106,R106,T106,V106)</f>
        <v>7.7491532903948492</v>
      </c>
    </row>
    <row r="115" spans="2:10" x14ac:dyDescent="0.3">
      <c r="B115" s="10" t="s">
        <v>353</v>
      </c>
      <c r="C115">
        <f>MAX(C104,E104,G104,I104,K104,M104,O104,Q104,S104,U104)</f>
        <v>11.00264784561983</v>
      </c>
      <c r="D115" s="11">
        <f>MAX(D104,F104,H104,J104,L104,N104,P104,R104,T104,V104)</f>
        <v>16.938115126434241</v>
      </c>
      <c r="E115" s="11">
        <f>MAX(D106,F106,H106,J106,L106,N106,P106,R106,T106,V106)</f>
        <v>9.6989610537075688</v>
      </c>
    </row>
    <row r="116" spans="2:10" x14ac:dyDescent="0.3">
      <c r="B116" s="12" t="s">
        <v>356</v>
      </c>
      <c r="C116" s="16">
        <f>C115-C114</f>
        <v>8.1705146042878596E-3</v>
      </c>
      <c r="D116" s="13">
        <f>D115-D114</f>
        <v>4.3467954746502073</v>
      </c>
      <c r="E116" s="13">
        <f>E115-E114</f>
        <v>1.9498077633127195</v>
      </c>
    </row>
    <row r="118" spans="2:10" x14ac:dyDescent="0.3">
      <c r="C118" s="18" t="s">
        <v>361</v>
      </c>
      <c r="D118" s="18"/>
      <c r="E118" s="18"/>
      <c r="F118" s="18"/>
      <c r="G118" s="18"/>
      <c r="H118" s="18"/>
      <c r="I118" s="18"/>
      <c r="J118" s="18"/>
    </row>
    <row r="119" spans="2:10" x14ac:dyDescent="0.3">
      <c r="C119" s="18"/>
      <c r="D119" s="18"/>
      <c r="E119" s="18"/>
      <c r="F119" s="18"/>
      <c r="G119" s="18"/>
      <c r="H119" s="18"/>
      <c r="I119" s="18"/>
      <c r="J119" s="18"/>
    </row>
    <row r="120" spans="2:10" x14ac:dyDescent="0.3">
      <c r="C120" s="18"/>
      <c r="D120" s="18"/>
      <c r="E120" s="18"/>
      <c r="F120" s="18"/>
      <c r="G120" s="18"/>
      <c r="H120" s="18"/>
      <c r="I120" s="18"/>
      <c r="J120" s="18"/>
    </row>
  </sheetData>
  <mergeCells count="1">
    <mergeCell ref="C118:J120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22"/>
  <sheetViews>
    <sheetView topLeftCell="A103" workbookViewId="0">
      <selection activeCell="F123" sqref="F123"/>
    </sheetView>
  </sheetViews>
  <sheetFormatPr defaultRowHeight="14.4" x14ac:dyDescent="0.3"/>
  <cols>
    <col min="1" max="1" width="16.5546875" customWidth="1"/>
  </cols>
  <sheetData>
    <row r="1" spans="1:17" x14ac:dyDescent="0.3">
      <c r="A1" s="3" t="s">
        <v>212</v>
      </c>
      <c r="C1" t="s">
        <v>8</v>
      </c>
      <c r="D1">
        <v>100</v>
      </c>
    </row>
    <row r="2" spans="1:17" x14ac:dyDescent="0.3">
      <c r="A2" s="3"/>
      <c r="H2" t="s">
        <v>329</v>
      </c>
      <c r="I2" t="s">
        <v>331</v>
      </c>
      <c r="J2" t="s">
        <v>330</v>
      </c>
      <c r="K2" t="s">
        <v>332</v>
      </c>
      <c r="L2" t="s">
        <v>333</v>
      </c>
      <c r="M2" t="s">
        <v>334</v>
      </c>
      <c r="N2" t="s">
        <v>335</v>
      </c>
      <c r="O2" t="s">
        <v>336</v>
      </c>
      <c r="P2" t="s">
        <v>337</v>
      </c>
      <c r="Q2" t="s">
        <v>338</v>
      </c>
    </row>
    <row r="3" spans="1:17" x14ac:dyDescent="0.3">
      <c r="A3" s="1" t="s">
        <v>2</v>
      </c>
      <c r="B3" s="2">
        <v>14</v>
      </c>
      <c r="C3" s="4" t="s">
        <v>11</v>
      </c>
      <c r="D3" s="4" t="s">
        <v>5</v>
      </c>
      <c r="E3" s="4">
        <v>212</v>
      </c>
      <c r="F3" s="4" t="s">
        <v>218</v>
      </c>
      <c r="G3" s="4" t="s">
        <v>5</v>
      </c>
      <c r="H3" s="2">
        <f>$B$3 + $B$4*$E3 + ('Станд.норм.распр.'!B3 * $B$5 + $D$1)</f>
        <v>2445.7469467416522</v>
      </c>
      <c r="I3" s="2">
        <f>$B$3 + $B$4*$E3 + ('Станд.норм.распр.'!C3 * $B$5 + $D$1)</f>
        <v>2430.6845685169683</v>
      </c>
      <c r="J3" s="2">
        <f>$B$3 + $B$4*$E3 + ('Станд.норм.распр.'!D3 * $B$5 + $D$1)</f>
        <v>2441.1263612274488</v>
      </c>
      <c r="K3" s="2">
        <f>$B$3 + $B$4*$E3 + ('Станд.норм.распр.'!E3 * $B$5 + $D$1)</f>
        <v>2449.5931373076892</v>
      </c>
      <c r="L3" s="2">
        <f>$B$3 + $B$4*$E3 + ('Станд.норм.распр.'!F3 * $B$5 + $D$1)</f>
        <v>2437.5392842467409</v>
      </c>
      <c r="M3" s="2">
        <f>$B$3 + $B$4*$E3 + ('Станд.норм.распр.'!G3 * $B$5 + $D$1)</f>
        <v>2449.4341348964517</v>
      </c>
      <c r="N3" s="2">
        <f>$B$3 + $B$4*$E3 + ('Станд.норм.распр.'!H3 * $B$5 + $D$1)</f>
        <v>2453.9433880273427</v>
      </c>
      <c r="O3" s="2">
        <f>$B$3 + $B$4*$E3 + ('Станд.норм.распр.'!I3 * $B$5 + $D$1)</f>
        <v>2426.8995744388085</v>
      </c>
      <c r="P3" s="2">
        <f>$B$3 + $B$4*$E3 + ('Станд.норм.распр.'!J3 * $B$5 + $D$1)</f>
        <v>2453.3036949288507</v>
      </c>
      <c r="Q3" s="2">
        <f>$B$3 + $B$4*$E3 + ('Станд.норм.распр.'!K3 * $B$5 + $D$1)</f>
        <v>2437.4802333478292</v>
      </c>
    </row>
    <row r="4" spans="1:17" x14ac:dyDescent="0.3">
      <c r="A4" s="1" t="s">
        <v>3</v>
      </c>
      <c r="B4" s="2">
        <v>11</v>
      </c>
      <c r="C4" s="4" t="s">
        <v>12</v>
      </c>
      <c r="D4" s="4" t="s">
        <v>5</v>
      </c>
      <c r="E4" s="4">
        <v>780</v>
      </c>
      <c r="F4" s="4" t="s">
        <v>230</v>
      </c>
      <c r="G4" s="4" t="s">
        <v>5</v>
      </c>
      <c r="H4" s="2">
        <f>$B$3 + $B$4*$E4 + ('Станд.норм.распр.'!B4 * $B$5 + $D$1)</f>
        <v>8692.7960427461076</v>
      </c>
      <c r="I4" s="2">
        <f>$B$3 + $B$4*$E4 + ('Станд.норм.распр.'!C4 * $B$5 + $D$1)</f>
        <v>8712.5312910616631</v>
      </c>
      <c r="J4" s="2">
        <f>$B$3 + $B$4*$E4 + ('Станд.норм.распр.'!D4 * $B$5 + $D$1)</f>
        <v>8712.3902557182591</v>
      </c>
      <c r="K4" s="2">
        <f>$B$3 + $B$4*$E4 + ('Станд.норм.распр.'!E4 * $B$5 + $D$1)</f>
        <v>8705.7286890599644</v>
      </c>
      <c r="L4" s="2">
        <f>$B$3 + $B$4*$E4 + ('Станд.норм.распр.'!F4 * $B$5 + $D$1)</f>
        <v>8701.0604028223897</v>
      </c>
      <c r="M4" s="2">
        <f>$B$3 + $B$4*$E4 + ('Станд.норм.распр.'!G4 * $B$5 + $D$1)</f>
        <v>8685.7595619081112</v>
      </c>
      <c r="N4" s="2">
        <f>$B$3 + $B$4*$E4 + ('Станд.норм.распр.'!H4 * $B$5 + $D$1)</f>
        <v>8686.2821140444139</v>
      </c>
      <c r="O4" s="2">
        <f>$B$3 + $B$4*$E4 + ('Станд.норм.распр.'!I4 * $B$5 + $D$1)</f>
        <v>8699.8643240663514</v>
      </c>
      <c r="P4" s="2">
        <f>$B$3 + $B$4*$E4 + ('Станд.норм.распр.'!J4 * $B$5 + $D$1)</f>
        <v>8694.4218577487336</v>
      </c>
      <c r="Q4" s="2">
        <f>$B$3 + $B$4*$E4 + ('Станд.норм.распр.'!K4 * $B$5 + $D$1)</f>
        <v>8700.3320817389467</v>
      </c>
    </row>
    <row r="5" spans="1:17" x14ac:dyDescent="0.3">
      <c r="A5" s="1" t="s">
        <v>4</v>
      </c>
      <c r="B5" s="2">
        <v>9</v>
      </c>
      <c r="C5" s="4" t="s">
        <v>13</v>
      </c>
      <c r="D5" s="4" t="s">
        <v>5</v>
      </c>
      <c r="E5" s="4">
        <v>280</v>
      </c>
      <c r="F5" s="4" t="s">
        <v>231</v>
      </c>
      <c r="G5" s="4" t="s">
        <v>5</v>
      </c>
      <c r="H5" s="2">
        <f>$B$3 + $B$4*$E5 + ('Станд.норм.распр.'!B5 * $B$5 + $D$1)</f>
        <v>3188.252656279059</v>
      </c>
      <c r="I5" s="2">
        <f>$B$3 + $B$4*$E5 + ('Станд.норм.распр.'!C5 * $B$5 + $D$1)</f>
        <v>3190.5325196171761</v>
      </c>
      <c r="J5" s="2">
        <f>$B$3 + $B$4*$E5 + ('Станд.норм.распр.'!D5 * $B$5 + $D$1)</f>
        <v>3202.4125986177241</v>
      </c>
      <c r="K5" s="2">
        <f>$B$3 + $B$4*$E5 + ('Станд.норм.распр.'!E5 * $B$5 + $D$1)</f>
        <v>3212.7127625395078</v>
      </c>
      <c r="L5" s="2">
        <f>$B$3 + $B$4*$E5 + ('Станд.норм.распр.'!F5 * $B$5 + $D$1)</f>
        <v>3197.3601997984078</v>
      </c>
      <c r="M5" s="2">
        <f>$B$3 + $B$4*$E5 + ('Станд.норм.распр.'!G5 * $B$5 + $D$1)</f>
        <v>3193.5360997218086</v>
      </c>
      <c r="N5" s="2">
        <f>$B$3 + $B$4*$E5 + ('Станд.норм.распр.'!H5 * $B$5 + $D$1)</f>
        <v>3205.6819225240615</v>
      </c>
      <c r="O5" s="2">
        <f>$B$3 + $B$4*$E5 + ('Станд.норм.распр.'!I5 * $B$5 + $D$1)</f>
        <v>3183.8589612712385</v>
      </c>
      <c r="P5" s="2">
        <f>$B$3 + $B$4*$E5 + ('Станд.норм.распр.'!J5 * $B$5 + $D$1)</f>
        <v>3184.8804034021159</v>
      </c>
      <c r="Q5" s="2">
        <f>$B$3 + $B$4*$E5 + ('Станд.норм.распр.'!K5 * $B$5 + $D$1)</f>
        <v>3187.6837878067308</v>
      </c>
    </row>
    <row r="6" spans="1:17" x14ac:dyDescent="0.3">
      <c r="C6" s="4" t="s">
        <v>14</v>
      </c>
      <c r="D6" s="4" t="s">
        <v>5</v>
      </c>
      <c r="E6" s="4">
        <v>888</v>
      </c>
      <c r="F6" s="4" t="s">
        <v>232</v>
      </c>
      <c r="G6" s="4" t="s">
        <v>5</v>
      </c>
      <c r="H6" s="2">
        <f>$B$3 + $B$4*$E6 + ('Станд.норм.распр.'!B6 * $B$5 + $D$1)</f>
        <v>9873.9626634437009</v>
      </c>
      <c r="I6" s="2">
        <f>$B$3 + $B$4*$E6 + ('Станд.норм.распр.'!C6 * $B$5 + $D$1)</f>
        <v>9901.2947481991723</v>
      </c>
      <c r="J6" s="2">
        <f>$B$3 + $B$4*$E6 + ('Станд.норм.распр.'!D6 * $B$5 + $D$1)</f>
        <v>9881.7497093318088</v>
      </c>
      <c r="K6" s="2">
        <f>$B$3 + $B$4*$E6 + ('Станд.норм.распр.'!E6 * $B$5 + $D$1)</f>
        <v>9879.257546056062</v>
      </c>
      <c r="L6" s="2">
        <f>$B$3 + $B$4*$E6 + ('Станд.норм.распр.'!F6 * $B$5 + $D$1)</f>
        <v>9884.8768999982276</v>
      </c>
      <c r="M6" s="2">
        <f>$B$3 + $B$4*$E6 + ('Станд.норм.распр.'!G6 * $B$5 + $D$1)</f>
        <v>9884.6236830308335</v>
      </c>
      <c r="N6" s="2">
        <f>$B$3 + $B$4*$E6 + ('Станд.норм.распр.'!H6 * $B$5 + $D$1)</f>
        <v>9902.2116825676057</v>
      </c>
      <c r="O6" s="2">
        <f>$B$3 + $B$4*$E6 + ('Станд.норм.распр.'!I6 * $B$5 + $D$1)</f>
        <v>9884.795147793222</v>
      </c>
      <c r="P6" s="2">
        <f>$B$3 + $B$4*$E6 + ('Станд.норм.распр.'!J6 * $B$5 + $D$1)</f>
        <v>9882.6190862222866</v>
      </c>
      <c r="Q6" s="2">
        <f>$B$3 + $B$4*$E6 + ('Станд.норм.распр.'!K6 * $B$5 + $D$1)</f>
        <v>9882.3977311280323</v>
      </c>
    </row>
    <row r="7" spans="1:17" x14ac:dyDescent="0.3">
      <c r="C7" s="4" t="s">
        <v>15</v>
      </c>
      <c r="D7" s="4" t="s">
        <v>5</v>
      </c>
      <c r="E7" s="4">
        <v>314</v>
      </c>
      <c r="F7" s="4" t="s">
        <v>233</v>
      </c>
      <c r="G7" s="4" t="s">
        <v>5</v>
      </c>
      <c r="H7" s="2">
        <f>$B$3 + $B$4*$E7 + ('Станд.норм.распр.'!B7 * $B$5 + $D$1)</f>
        <v>3568.0361387719749</v>
      </c>
      <c r="I7" s="2">
        <f>$B$3 + $B$4*$E7 + ('Станд.норм.распр.'!C7 * $B$5 + $D$1)</f>
        <v>3568.6232301075215</v>
      </c>
      <c r="J7" s="2">
        <f>$B$3 + $B$4*$E7 + ('Станд.норм.распр.'!D7 * $B$5 + $D$1)</f>
        <v>3572.1674286421767</v>
      </c>
      <c r="K7" s="2">
        <f>$B$3 + $B$4*$E7 + ('Станд.норм.распр.'!E7 * $B$5 + $D$1)</f>
        <v>3567.6677320268645</v>
      </c>
      <c r="L7" s="2">
        <f>$B$3 + $B$4*$E7 + ('Станд.норм.распр.'!F7 * $B$5 + $D$1)</f>
        <v>3569.9163269371347</v>
      </c>
      <c r="M7" s="2">
        <f>$B$3 + $B$4*$E7 + ('Станд.норм.распр.'!G7 * $B$5 + $D$1)</f>
        <v>3567.2068705978454</v>
      </c>
      <c r="N7" s="2">
        <f>$B$3 + $B$4*$E7 + ('Станд.норм.распр.'!H7 * $B$5 + $D$1)</f>
        <v>3565.6010894897627</v>
      </c>
      <c r="O7" s="2">
        <f>$B$3 + $B$4*$E7 + ('Станд.норм.распр.'!I7 * $B$5 + $D$1)</f>
        <v>3571.2990033105307</v>
      </c>
      <c r="P7" s="2">
        <f>$B$3 + $B$4*$E7 + ('Станд.норм.распр.'!J7 * $B$5 + $D$1)</f>
        <v>3568.3823291535955</v>
      </c>
      <c r="Q7" s="2">
        <f>$B$3 + $B$4*$E7 + ('Станд.норм.распр.'!K7 * $B$5 + $D$1)</f>
        <v>3581.8136465466232</v>
      </c>
    </row>
    <row r="8" spans="1:17" x14ac:dyDescent="0.3">
      <c r="C8" s="4" t="s">
        <v>16</v>
      </c>
      <c r="D8" s="4" t="s">
        <v>5</v>
      </c>
      <c r="E8" s="4">
        <v>780</v>
      </c>
      <c r="F8" s="4" t="s">
        <v>234</v>
      </c>
      <c r="G8" s="4" t="s">
        <v>5</v>
      </c>
      <c r="H8" s="2">
        <f>$B$3 + $B$4*$E8 + ('Станд.норм.распр.'!B8 * $B$5 + $D$1)</f>
        <v>8686.5498673292168</v>
      </c>
      <c r="I8" s="2">
        <f>$B$3 + $B$4*$E8 + ('Станд.норм.распр.'!C8 * $B$5 + $D$1)</f>
        <v>8677.6000779396272</v>
      </c>
      <c r="J8" s="2">
        <f>$B$3 + $B$4*$E8 + ('Станд.норм.распр.'!D8 * $B$5 + $D$1)</f>
        <v>8699.2095185765211</v>
      </c>
      <c r="K8" s="2">
        <f>$B$3 + $B$4*$E8 + ('Станд.норм.распр.'!E8 * $B$5 + $D$1)</f>
        <v>8685.5189505372837</v>
      </c>
      <c r="L8" s="2">
        <f>$B$3 + $B$4*$E8 + ('Станд.норм.распр.'!F8 * $B$5 + $D$1)</f>
        <v>8699.4209999689192</v>
      </c>
      <c r="M8" s="2">
        <f>$B$3 + $B$4*$E8 + ('Станд.норм.распр.'!G8 * $B$5 + $D$1)</f>
        <v>8695.7188733636431</v>
      </c>
      <c r="N8" s="2">
        <f>$B$3 + $B$4*$E8 + ('Станд.норм.распр.'!H8 * $B$5 + $D$1)</f>
        <v>8692.115350763328</v>
      </c>
      <c r="O8" s="2">
        <f>$B$3 + $B$4*$E8 + ('Станд.норм.распр.'!I8 * $B$5 + $D$1)</f>
        <v>8686.8275997262972</v>
      </c>
      <c r="P8" s="2">
        <f>$B$3 + $B$4*$E8 + ('Станд.норм.распр.'!J8 * $B$5 + $D$1)</f>
        <v>8686.4299299891572</v>
      </c>
      <c r="Q8" s="2">
        <f>$B$3 + $B$4*$E8 + ('Станд.норм.распр.'!K8 * $B$5 + $D$1)</f>
        <v>8702.2540668699949</v>
      </c>
    </row>
    <row r="9" spans="1:17" x14ac:dyDescent="0.3">
      <c r="C9" s="4" t="s">
        <v>17</v>
      </c>
      <c r="D9" s="4" t="s">
        <v>5</v>
      </c>
      <c r="E9" s="4">
        <v>993</v>
      </c>
      <c r="F9" s="4" t="s">
        <v>235</v>
      </c>
      <c r="G9" s="4" t="s">
        <v>5</v>
      </c>
      <c r="H9" s="2">
        <f>$B$3 + $B$4*$E9 + ('Станд.норм.распр.'!B9 * $B$5 + $D$1)</f>
        <v>11048.658232779155</v>
      </c>
      <c r="I9" s="2">
        <f>$B$3 + $B$4*$E9 + ('Станд.норм.распр.'!C9 * $B$5 + $D$1)</f>
        <v>11028.744889484835</v>
      </c>
      <c r="J9" s="2">
        <f>$B$3 + $B$4*$E9 + ('Станд.норм.распр.'!D9 * $B$5 + $D$1)</f>
        <v>11045.117656307149</v>
      </c>
      <c r="K9" s="2">
        <f>$B$3 + $B$4*$E9 + ('Станд.норм.распр.'!E9 * $B$5 + $D$1)</f>
        <v>11047.253547770844</v>
      </c>
      <c r="L9" s="2">
        <f>$B$3 + $B$4*$E9 + ('Станд.норм.распр.'!F9 * $B$5 + $D$1)</f>
        <v>11039.274297230542</v>
      </c>
      <c r="M9" s="2">
        <f>$B$3 + $B$4*$E9 + ('Станд.норм.распр.'!G9 * $B$5 + $D$1)</f>
        <v>11036.345706100939</v>
      </c>
      <c r="N9" s="2">
        <f>$B$3 + $B$4*$E9 + ('Станд.норм.распр.'!H9 * $B$5 + $D$1)</f>
        <v>11042.185115696804</v>
      </c>
      <c r="O9" s="2">
        <f>$B$3 + $B$4*$E9 + ('Станд.норм.распр.'!I9 * $B$5 + $D$1)</f>
        <v>11042.542830194827</v>
      </c>
      <c r="P9" s="2">
        <f>$B$3 + $B$4*$E9 + ('Станд.норм.распр.'!J9 * $B$5 + $D$1)</f>
        <v>11043.690768259432</v>
      </c>
      <c r="Q9" s="2">
        <f>$B$3 + $B$4*$E9 + ('Станд.норм.распр.'!K9 * $B$5 + $D$1)</f>
        <v>11038.776406861609</v>
      </c>
    </row>
    <row r="10" spans="1:17" x14ac:dyDescent="0.3">
      <c r="C10" s="4" t="s">
        <v>18</v>
      </c>
      <c r="D10" s="4" t="s">
        <v>5</v>
      </c>
      <c r="E10" s="4">
        <v>326</v>
      </c>
      <c r="F10" s="4" t="s">
        <v>236</v>
      </c>
      <c r="G10" s="4" t="s">
        <v>5</v>
      </c>
      <c r="H10" s="2">
        <f>$B$3 + $B$4*$E10 + ('Станд.норм.распр.'!B10 * $B$5 + $D$1)</f>
        <v>3702.9959880976094</v>
      </c>
      <c r="I10" s="2">
        <f>$B$3 + $B$4*$E10 + ('Станд.норм.распр.'!C10 * $B$5 + $D$1)</f>
        <v>3680.5374500283506</v>
      </c>
      <c r="J10" s="2">
        <f>$B$3 + $B$4*$E10 + ('Станд.норм.распр.'!D10 * $B$5 + $D$1)</f>
        <v>3693.4553829916695</v>
      </c>
      <c r="K10" s="2">
        <f>$B$3 + $B$4*$E10 + ('Станд.норм.распр.'!E10 * $B$5 + $D$1)</f>
        <v>3704.0109432575264</v>
      </c>
      <c r="L10" s="2">
        <f>$B$3 + $B$4*$E10 + ('Станд.норм.распр.'!F10 * $B$5 + $D$1)</f>
        <v>3700.2206797944382</v>
      </c>
      <c r="M10" s="2">
        <f>$B$3 + $B$4*$E10 + ('Станд.норм.распр.'!G10 * $B$5 + $D$1)</f>
        <v>3716.2536071002251</v>
      </c>
      <c r="N10" s="2">
        <f>$B$3 + $B$4*$E10 + ('Станд.норм.распр.'!H10 * $B$5 + $D$1)</f>
        <v>3712.4677330859413</v>
      </c>
      <c r="O10" s="2">
        <f>$B$3 + $B$4*$E10 + ('Станд.норм.распр.'!I10 * $B$5 + $D$1)</f>
        <v>3702.6200916636299</v>
      </c>
      <c r="P10" s="2">
        <f>$B$3 + $B$4*$E10 + ('Станд.норм.распр.'!J10 * $B$5 + $D$1)</f>
        <v>3707.4765788213117</v>
      </c>
      <c r="Q10" s="2">
        <f>$B$3 + $B$4*$E10 + ('Станд.норм.распр.'!K10 * $B$5 + $D$1)</f>
        <v>3689.8628493610886</v>
      </c>
    </row>
    <row r="11" spans="1:17" x14ac:dyDescent="0.3">
      <c r="C11" s="4" t="s">
        <v>19</v>
      </c>
      <c r="D11" s="4" t="s">
        <v>5</v>
      </c>
      <c r="E11" s="4">
        <v>906</v>
      </c>
      <c r="F11" s="4" t="s">
        <v>237</v>
      </c>
      <c r="G11" s="4" t="s">
        <v>5</v>
      </c>
      <c r="H11" s="2">
        <f>$B$3 + $B$4*$E11 + ('Станд.норм.распр.'!B11 * $B$5 + $D$1)</f>
        <v>10086.260847840167</v>
      </c>
      <c r="I11" s="2">
        <f>$B$3 + $B$4*$E11 + ('Станд.норм.распр.'!C11 * $B$5 + $D$1)</f>
        <v>10077.521813384083</v>
      </c>
      <c r="J11" s="2">
        <f>$B$3 + $B$4*$E11 + ('Станд.норм.распр.'!D11 * $B$5 + $D$1)</f>
        <v>10073.944494462994</v>
      </c>
      <c r="K11" s="2">
        <f>$B$3 + $B$4*$E11 + ('Станд.норм.распр.'!E11 * $B$5 + $D$1)</f>
        <v>10080.395664301323</v>
      </c>
      <c r="L11" s="2">
        <f>$B$3 + $B$4*$E11 + ('Станд.норм.распр.'!F11 * $B$5 + $D$1)</f>
        <v>10077.788914924968</v>
      </c>
      <c r="M11" s="2">
        <f>$B$3 + $B$4*$E11 + ('Станд.норм.распр.'!G11 * $B$5 + $D$1)</f>
        <v>10089.622756351746</v>
      </c>
      <c r="N11" s="2">
        <f>$B$3 + $B$4*$E11 + ('Станд.норм.распр.'!H11 * $B$5 + $D$1)</f>
        <v>10091.92624495161</v>
      </c>
      <c r="O11" s="2">
        <f>$B$3 + $B$4*$E11 + ('Станд.норм.распр.'!I11 * $B$5 + $D$1)</f>
        <v>10087.178089163062</v>
      </c>
      <c r="P11" s="2">
        <f>$B$3 + $B$4*$E11 + ('Станд.норм.распр.'!J11 * $B$5 + $D$1)</f>
        <v>10090.191870387644</v>
      </c>
      <c r="Q11" s="2">
        <f>$B$3 + $B$4*$E11 + ('Станд.норм.распр.'!K11 * $B$5 + $D$1)</f>
        <v>10083.084912805207</v>
      </c>
    </row>
    <row r="12" spans="1:17" x14ac:dyDescent="0.3">
      <c r="C12" s="4" t="s">
        <v>20</v>
      </c>
      <c r="D12" s="4" t="s">
        <v>5</v>
      </c>
      <c r="E12" s="4">
        <v>790</v>
      </c>
      <c r="F12" s="4" t="s">
        <v>238</v>
      </c>
      <c r="G12" s="4" t="s">
        <v>5</v>
      </c>
      <c r="H12" s="2">
        <f>$B$3 + $B$4*$E12 + ('Станд.норм.распр.'!B12 * $B$5 + $D$1)</f>
        <v>8806.3896404854895</v>
      </c>
      <c r="I12" s="2">
        <f>$B$3 + $B$4*$E12 + ('Станд.норм.распр.'!C12 * $B$5 + $D$1)</f>
        <v>8784.69158209546</v>
      </c>
      <c r="J12" s="2">
        <f>$B$3 + $B$4*$E12 + ('Станд.норм.распр.'!D12 * $B$5 + $D$1)</f>
        <v>8808.5929596126371</v>
      </c>
      <c r="K12" s="2">
        <f>$B$3 + $B$4*$E12 + ('Станд.норм.распр.'!E12 * $B$5 + $D$1)</f>
        <v>8817.5150003188755</v>
      </c>
      <c r="L12" s="2">
        <f>$B$3 + $B$4*$E12 + ('Станд.норм.распр.'!F12 * $B$5 + $D$1)</f>
        <v>8809.1453343985486</v>
      </c>
      <c r="M12" s="2">
        <f>$B$3 + $B$4*$E12 + ('Станд.норм.распр.'!G12 * $B$5 + $D$1)</f>
        <v>8812.3488748714444</v>
      </c>
      <c r="N12" s="2">
        <f>$B$3 + $B$4*$E12 + ('Станд.норм.распр.'!H12 * $B$5 + $D$1)</f>
        <v>8827.2951424550265</v>
      </c>
      <c r="O12" s="2">
        <f>$B$3 + $B$4*$E12 + ('Станд.норм.распр.'!I12 * $B$5 + $D$1)</f>
        <v>8814.7527375803329</v>
      </c>
      <c r="P12" s="2">
        <f>$B$3 + $B$4*$E12 + ('Станд.норм.распр.'!J12 * $B$5 + $D$1)</f>
        <v>8804.8581218935433</v>
      </c>
      <c r="Q12" s="2">
        <f>$B$3 + $B$4*$E12 + ('Станд.норм.распр.'!K12 * $B$5 + $D$1)</f>
        <v>8801.3569174471777</v>
      </c>
    </row>
    <row r="13" spans="1:17" x14ac:dyDescent="0.3">
      <c r="C13" s="4" t="s">
        <v>21</v>
      </c>
      <c r="D13" s="4" t="s">
        <v>5</v>
      </c>
      <c r="E13" s="4">
        <v>127</v>
      </c>
      <c r="F13" s="4" t="s">
        <v>239</v>
      </c>
      <c r="G13" s="4" t="s">
        <v>5</v>
      </c>
      <c r="H13" s="2">
        <f>$B$3 + $B$4*$E13 + ('Станд.норм.распр.'!B13 * $B$5 + $D$1)</f>
        <v>1508.8803361955215</v>
      </c>
      <c r="I13" s="2">
        <f>$B$3 + $B$4*$E13 + ('Станд.норм.распр.'!C13 * $B$5 + $D$1)</f>
        <v>1502.4823820290621</v>
      </c>
      <c r="J13" s="2">
        <f>$B$3 + $B$4*$E13 + ('Станд.норм.распр.'!D13 * $B$5 + $D$1)</f>
        <v>1510.4167865224881</v>
      </c>
      <c r="K13" s="2">
        <f>$B$3 + $B$4*$E13 + ('Станд.норм.распр.'!E13 * $B$5 + $D$1)</f>
        <v>1505.7489095575293</v>
      </c>
      <c r="L13" s="2">
        <f>$B$3 + $B$4*$E13 + ('Станд.норм.распр.'!F13 * $B$5 + $D$1)</f>
        <v>1515.9679761104926</v>
      </c>
      <c r="M13" s="2">
        <f>$B$3 + $B$4*$E13 + ('Станд.норм.распр.'!G13 * $B$5 + $D$1)</f>
        <v>1503.3284303804394</v>
      </c>
      <c r="N13" s="2">
        <f>$B$3 + $B$4*$E13 + ('Станд.норм.распр.'!H13 * $B$5 + $D$1)</f>
        <v>1512.9050617083849</v>
      </c>
      <c r="O13" s="2">
        <f>$B$3 + $B$4*$E13 + ('Станд.норм.распр.'!I13 * $B$5 + $D$1)</f>
        <v>1532.94159606006</v>
      </c>
      <c r="P13" s="2">
        <f>$B$3 + $B$4*$E13 + ('Станд.норм.распр.'!J13 * $B$5 + $D$1)</f>
        <v>1507.3089749144274</v>
      </c>
      <c r="Q13" s="2">
        <f>$B$3 + $B$4*$E13 + ('Станд.норм.распр.'!K13 * $B$5 + $D$1)</f>
        <v>1509.8717172527686</v>
      </c>
    </row>
    <row r="14" spans="1:17" x14ac:dyDescent="0.3">
      <c r="C14" s="4" t="s">
        <v>22</v>
      </c>
      <c r="D14" s="4" t="s">
        <v>5</v>
      </c>
      <c r="E14" s="4">
        <v>685</v>
      </c>
      <c r="F14" s="4" t="s">
        <v>240</v>
      </c>
      <c r="G14" s="4" t="s">
        <v>5</v>
      </c>
      <c r="H14" s="2">
        <f>$B$3 + $B$4*$E14 + ('Станд.норм.распр.'!B14 * $B$5 + $D$1)</f>
        <v>7646.2741420606326</v>
      </c>
      <c r="I14" s="2">
        <f>$B$3 + $B$4*$E14 + ('Станд.норм.распр.'!C14 * $B$5 + $D$1)</f>
        <v>7642.9324106890126</v>
      </c>
      <c r="J14" s="2">
        <f>$B$3 + $B$4*$E14 + ('Станд.норм.распр.'!D14 * $B$5 + $D$1)</f>
        <v>7649.0313298187393</v>
      </c>
      <c r="K14" s="2">
        <f>$B$3 + $B$4*$E14 + ('Станд.норм.распр.'!E14 * $B$5 + $D$1)</f>
        <v>7651.4338828552573</v>
      </c>
      <c r="L14" s="2">
        <f>$B$3 + $B$4*$E14 + ('Станд.норм.распр.'!F14 * $B$5 + $D$1)</f>
        <v>7653.6039485823712</v>
      </c>
      <c r="M14" s="2">
        <f>$B$3 + $B$4*$E14 + ('Станд.норм.распр.'!G14 * $B$5 + $D$1)</f>
        <v>7639.6342668509751</v>
      </c>
      <c r="N14" s="2">
        <f>$B$3 + $B$4*$E14 + ('Станд.норм.распр.'!H14 * $B$5 + $D$1)</f>
        <v>7653.1069790768233</v>
      </c>
      <c r="O14" s="2">
        <f>$B$3 + $B$4*$E14 + ('Станд.норм.распр.'!I14 * $B$5 + $D$1)</f>
        <v>7642.6758581497998</v>
      </c>
      <c r="P14" s="2">
        <f>$B$3 + $B$4*$E14 + ('Станд.норм.распр.'!J14 * $B$5 + $D$1)</f>
        <v>7640.8543699095608</v>
      </c>
      <c r="Q14" s="2">
        <f>$B$3 + $B$4*$E14 + ('Станд.норм.распр.'!K14 * $B$5 + $D$1)</f>
        <v>7648.730412127974</v>
      </c>
    </row>
    <row r="15" spans="1:17" x14ac:dyDescent="0.3">
      <c r="C15" s="4" t="s">
        <v>23</v>
      </c>
      <c r="D15" s="4" t="s">
        <v>5</v>
      </c>
      <c r="E15" s="4">
        <v>320</v>
      </c>
      <c r="F15" s="4" t="s">
        <v>241</v>
      </c>
      <c r="G15" s="4" t="s">
        <v>5</v>
      </c>
      <c r="H15" s="2">
        <f>$B$3 + $B$4*$E15 + ('Станд.норм.распр.'!B15 * $B$5 + $D$1)</f>
        <v>3635.3193721315474</v>
      </c>
      <c r="I15" s="2">
        <f>$B$3 + $B$4*$E15 + ('Станд.норм.распр.'!C15 * $B$5 + $D$1)</f>
        <v>3651.5612331076991</v>
      </c>
      <c r="J15" s="2">
        <f>$B$3 + $B$4*$E15 + ('Станд.норм.распр.'!D15 * $B$5 + $D$1)</f>
        <v>3639.2038194553461</v>
      </c>
      <c r="K15" s="2">
        <f>$B$3 + $B$4*$E15 + ('Станд.норм.распр.'!E15 * $B$5 + $D$1)</f>
        <v>3635.9212586721551</v>
      </c>
      <c r="L15" s="2">
        <f>$B$3 + $B$4*$E15 + ('Станд.норм.распр.'!F15 * $B$5 + $D$1)</f>
        <v>3618.702126312186</v>
      </c>
      <c r="M15" s="2">
        <f>$B$3 + $B$4*$E15 + ('Станд.норм.распр.'!G15 * $B$5 + $D$1)</f>
        <v>3646.2851770356647</v>
      </c>
      <c r="N15" s="2">
        <f>$B$3 + $B$4*$E15 + ('Станд.норм.распр.'!H15 * $B$5 + $D$1)</f>
        <v>3630.6250694796909</v>
      </c>
      <c r="O15" s="2">
        <f>$B$3 + $B$4*$E15 + ('Станд.норм.распр.'!I15 * $B$5 + $D$1)</f>
        <v>3650.2465676112333</v>
      </c>
      <c r="P15" s="2">
        <f>$B$3 + $B$4*$E15 + ('Станд.норм.распр.'!J15 * $B$5 + $D$1)</f>
        <v>3632.3350789989345</v>
      </c>
      <c r="Q15" s="2">
        <f>$B$3 + $B$4*$E15 + ('Станд.норм.распр.'!K15 * $B$5 + $D$1)</f>
        <v>3631.0737826515688</v>
      </c>
    </row>
    <row r="16" spans="1:17" x14ac:dyDescent="0.3">
      <c r="C16" s="4" t="s">
        <v>24</v>
      </c>
      <c r="D16" s="4" t="s">
        <v>5</v>
      </c>
      <c r="E16" s="4">
        <v>658</v>
      </c>
      <c r="F16" s="4" t="s">
        <v>242</v>
      </c>
      <c r="G16" s="4" t="s">
        <v>5</v>
      </c>
      <c r="H16" s="2">
        <f>$B$3 + $B$4*$E16 + ('Станд.норм.распр.'!B16 * $B$5 + $D$1)</f>
        <v>7352.0581781023357</v>
      </c>
      <c r="I16" s="2">
        <f>$B$3 + $B$4*$E16 + ('Станд.норм.распр.'!C16 * $B$5 + $D$1)</f>
        <v>7355.0754279123357</v>
      </c>
      <c r="J16" s="2">
        <f>$B$3 + $B$4*$E16 + ('Станд.норм.распр.'!D16 * $B$5 + $D$1)</f>
        <v>7351.885362740315</v>
      </c>
      <c r="K16" s="2">
        <f>$B$3 + $B$4*$E16 + ('Станд.норм.распр.'!E16 * $B$5 + $D$1)</f>
        <v>7340.8384400037467</v>
      </c>
      <c r="L16" s="2">
        <f>$B$3 + $B$4*$E16 + ('Станд.норм.распр.'!F16 * $B$5 + $D$1)</f>
        <v>7368.0132822202286</v>
      </c>
      <c r="M16" s="2">
        <f>$B$3 + $B$4*$E16 + ('Станд.норм.распр.'!G16 * $B$5 + $D$1)</f>
        <v>7357.5886789596116</v>
      </c>
      <c r="N16" s="2">
        <f>$B$3 + $B$4*$E16 + ('Станд.норм.распр.'!H16 * $B$5 + $D$1)</f>
        <v>7352.5859760676685</v>
      </c>
      <c r="O16" s="2">
        <f>$B$3 + $B$4*$E16 + ('Станд.норм.распр.'!I16 * $B$5 + $D$1)</f>
        <v>7347.5149348807026</v>
      </c>
      <c r="P16" s="2">
        <f>$B$3 + $B$4*$E16 + ('Станд.норм.распр.'!J16 * $B$5 + $D$1)</f>
        <v>7347.8807939037797</v>
      </c>
      <c r="Q16" s="2">
        <f>$B$3 + $B$4*$E16 + ('Станд.норм.распр.'!K16 * $B$5 + $D$1)</f>
        <v>7362.7373080027173</v>
      </c>
    </row>
    <row r="17" spans="3:17" x14ac:dyDescent="0.3">
      <c r="C17" s="4" t="s">
        <v>25</v>
      </c>
      <c r="D17" s="4" t="s">
        <v>5</v>
      </c>
      <c r="E17" s="4">
        <v>436</v>
      </c>
      <c r="F17" s="4" t="s">
        <v>243</v>
      </c>
      <c r="G17" s="4" t="s">
        <v>5</v>
      </c>
      <c r="H17" s="2">
        <f>$B$3 + $B$4*$E17 + ('Станд.норм.распр.'!B17 * $B$5 + $D$1)</f>
        <v>4908.1026837758691</v>
      </c>
      <c r="I17" s="2">
        <f>$B$3 + $B$4*$E17 + ('Станд.норм.распр.'!C17 * $B$5 + $D$1)</f>
        <v>4910.7537369128841</v>
      </c>
      <c r="J17" s="2">
        <f>$B$3 + $B$4*$E17 + ('Станд.норм.распр.'!D17 * $B$5 + $D$1)</f>
        <v>4907.9821325268858</v>
      </c>
      <c r="K17" s="2">
        <f>$B$3 + $B$4*$E17 + ('Станд.норм.распр.'!E17 * $B$5 + $D$1)</f>
        <v>4914.0489953789802</v>
      </c>
      <c r="L17" s="2">
        <f>$B$3 + $B$4*$E17 + ('Станд.норм.распр.'!F17 * $B$5 + $D$1)</f>
        <v>4900.867736414657</v>
      </c>
      <c r="M17" s="2">
        <f>$B$3 + $B$4*$E17 + ('Станд.норм.распр.'!G17 * $B$5 + $D$1)</f>
        <v>4910.1821160822146</v>
      </c>
      <c r="N17" s="2">
        <f>$B$3 + $B$4*$E17 + ('Станд.норм.распр.'!H17 * $B$5 + $D$1)</f>
        <v>4910.7530513812526</v>
      </c>
      <c r="O17" s="2">
        <f>$B$3 + $B$4*$E17 + ('Станд.норм.распр.'!I17 * $B$5 + $D$1)</f>
        <v>4909.2517882674292</v>
      </c>
      <c r="P17" s="2">
        <f>$B$3 + $B$4*$E17 + ('Станд.норм.распр.'!J17 * $B$5 + $D$1)</f>
        <v>4908.5419663062203</v>
      </c>
      <c r="Q17" s="2">
        <f>$B$3 + $B$4*$E17 + ('Станд.норм.распр.'!K17 * $B$5 + $D$1)</f>
        <v>4908.8002030476928</v>
      </c>
    </row>
    <row r="18" spans="3:17" x14ac:dyDescent="0.3">
      <c r="C18" s="4" t="s">
        <v>26</v>
      </c>
      <c r="D18" s="4" t="s">
        <v>5</v>
      </c>
      <c r="E18" s="4">
        <v>686</v>
      </c>
      <c r="F18" s="4" t="s">
        <v>244</v>
      </c>
      <c r="G18" s="4" t="s">
        <v>5</v>
      </c>
      <c r="H18" s="2">
        <f>$B$3 + $B$4*$E18 + ('Станд.норм.распр.'!B18 * $B$5 + $D$1)</f>
        <v>7657.9135895955551</v>
      </c>
      <c r="I18" s="2">
        <f>$B$3 + $B$4*$E18 + ('Станд.норм.распр.'!C18 * $B$5 + $D$1)</f>
        <v>7661.7876413949125</v>
      </c>
      <c r="J18" s="2">
        <f>$B$3 + $B$4*$E18 + ('Станд.норм.распр.'!D18 * $B$5 + $D$1)</f>
        <v>7668.8823207988753</v>
      </c>
      <c r="K18" s="2">
        <f>$B$3 + $B$4*$E18 + ('Станд.норм.распр.'!E18 * $B$5 + $D$1)</f>
        <v>7661.2254952252988</v>
      </c>
      <c r="L18" s="2">
        <f>$B$3 + $B$4*$E18 + ('Станд.норм.распр.'!F18 * $B$5 + $D$1)</f>
        <v>7665.1024221647822</v>
      </c>
      <c r="M18" s="2">
        <f>$B$3 + $B$4*$E18 + ('Станд.норм.распр.'!G18 * $B$5 + $D$1)</f>
        <v>7654.5095055409183</v>
      </c>
      <c r="N18" s="2">
        <f>$B$3 + $B$4*$E18 + ('Станд.норм.распр.'!H18 * $B$5 + $D$1)</f>
        <v>7649.7190033607185</v>
      </c>
      <c r="O18" s="2">
        <f>$B$3 + $B$4*$E18 + ('Станд.норм.распр.'!I18 * $B$5 + $D$1)</f>
        <v>7665.00650912727</v>
      </c>
      <c r="P18" s="2">
        <f>$B$3 + $B$4*$E18 + ('Станд.норм.распр.'!J18 * $B$5 + $D$1)</f>
        <v>7649.5880841904727</v>
      </c>
      <c r="Q18" s="2">
        <f>$B$3 + $B$4*$E18 + ('Станд.норм.распр.'!K18 * $B$5 + $D$1)</f>
        <v>7658.8675631357182</v>
      </c>
    </row>
    <row r="19" spans="3:17" x14ac:dyDescent="0.3">
      <c r="C19" s="4" t="s">
        <v>27</v>
      </c>
      <c r="D19" s="4" t="s">
        <v>5</v>
      </c>
      <c r="E19" s="4">
        <v>797</v>
      </c>
      <c r="F19" s="4" t="s">
        <v>245</v>
      </c>
      <c r="G19" s="4" t="s">
        <v>5</v>
      </c>
      <c r="H19" s="2">
        <f>$B$3 + $B$4*$E19 + ('Станд.норм.распр.'!B19 * $B$5 + $D$1)</f>
        <v>8888.882590580266</v>
      </c>
      <c r="I19" s="2">
        <f>$B$3 + $B$4*$E19 + ('Станд.норм.распр.'!C19 * $B$5 + $D$1)</f>
        <v>8882.8248647393193</v>
      </c>
      <c r="J19" s="2">
        <f>$B$3 + $B$4*$E19 + ('Станд.норм.распр.'!D19 * $B$5 + $D$1)</f>
        <v>8888.2255033956026</v>
      </c>
      <c r="K19" s="2">
        <f>$B$3 + $B$4*$E19 + ('Станд.норм.распр.'!E19 * $B$5 + $D$1)</f>
        <v>8886.350993887987</v>
      </c>
      <c r="L19" s="2">
        <f>$B$3 + $B$4*$E19 + ('Станд.норм.распр.'!F19 * $B$5 + $D$1)</f>
        <v>8864.2578922451066</v>
      </c>
      <c r="M19" s="2">
        <f>$B$3 + $B$4*$E19 + ('Станд.норм.распр.'!G19 * $B$5 + $D$1)</f>
        <v>8890.7765814643935</v>
      </c>
      <c r="N19" s="2">
        <f>$B$3 + $B$4*$E19 + ('Станд.норм.распр.'!H19 * $B$5 + $D$1)</f>
        <v>8875.5661826586584</v>
      </c>
      <c r="O19" s="2">
        <f>$B$3 + $B$4*$E19 + ('Станд.норм.распр.'!I19 * $B$5 + $D$1)</f>
        <v>8879.8543640938587</v>
      </c>
      <c r="P19" s="2">
        <f>$B$3 + $B$4*$E19 + ('Станд.норм.распр.'!J19 * $B$5 + $D$1)</f>
        <v>8873.0189384283731</v>
      </c>
      <c r="Q19" s="2">
        <f>$B$3 + $B$4*$E19 + ('Станд.норм.распр.'!K19 * $B$5 + $D$1)</f>
        <v>8884.7713039091614</v>
      </c>
    </row>
    <row r="20" spans="3:17" x14ac:dyDescent="0.3">
      <c r="C20" s="4" t="s">
        <v>28</v>
      </c>
      <c r="D20" s="4" t="s">
        <v>5</v>
      </c>
      <c r="E20" s="4">
        <v>464</v>
      </c>
      <c r="F20" s="4" t="s">
        <v>246</v>
      </c>
      <c r="G20" s="4" t="s">
        <v>5</v>
      </c>
      <c r="H20" s="2">
        <f>$B$3 + $B$4*$E20 + ('Станд.норм.распр.'!B20 * $B$5 + $D$1)</f>
        <v>5211.7470511213178</v>
      </c>
      <c r="I20" s="2">
        <f>$B$3 + $B$4*$E20 + ('Станд.норм.распр.'!C20 * $B$5 + $D$1)</f>
        <v>5219.1435486158007</v>
      </c>
      <c r="J20" s="2">
        <f>$B$3 + $B$4*$E20 + ('Станд.норм.распр.'!D20 * $B$5 + $D$1)</f>
        <v>5217.2020309491636</v>
      </c>
      <c r="K20" s="2">
        <f>$B$3 + $B$4*$E20 + ('Станд.норм.распр.'!E20 * $B$5 + $D$1)</f>
        <v>5221.1134084110818</v>
      </c>
      <c r="L20" s="2">
        <f>$B$3 + $B$4*$E20 + ('Станд.норм.распр.'!F20 * $B$5 + $D$1)</f>
        <v>5204.2197910260875</v>
      </c>
      <c r="M20" s="2">
        <f>$B$3 + $B$4*$E20 + ('Станд.норм.распр.'!G20 * $B$5 + $D$1)</f>
        <v>5218.3467357601039</v>
      </c>
      <c r="N20" s="2">
        <f>$B$3 + $B$4*$E20 + ('Станд.норм.распр.'!H20 * $B$5 + $D$1)</f>
        <v>5235.6877802005038</v>
      </c>
      <c r="O20" s="2">
        <f>$B$3 + $B$4*$E20 + ('Станд.норм.распр.'!I20 * $B$5 + $D$1)</f>
        <v>5216.9701882441295</v>
      </c>
      <c r="P20" s="2">
        <f>$B$3 + $B$4*$E20 + ('Станд.норм.распр.'!J20 * $B$5 + $D$1)</f>
        <v>5218.2241279162263</v>
      </c>
      <c r="Q20" s="2">
        <f>$B$3 + $B$4*$E20 + ('Станд.норм.распр.'!K20 * $B$5 + $D$1)</f>
        <v>5211.8047585601453</v>
      </c>
    </row>
    <row r="21" spans="3:17" x14ac:dyDescent="0.3">
      <c r="C21" s="4" t="s">
        <v>29</v>
      </c>
      <c r="D21" s="4" t="s">
        <v>5</v>
      </c>
      <c r="E21" s="4">
        <v>514</v>
      </c>
      <c r="F21" s="4" t="s">
        <v>247</v>
      </c>
      <c r="G21" s="4" t="s">
        <v>5</v>
      </c>
      <c r="H21" s="2">
        <f>$B$3 + $B$4*$E21 + ('Станд.норм.распр.'!B21 * $B$5 + $D$1)</f>
        <v>5761.276510394935</v>
      </c>
      <c r="I21" s="2">
        <f>$B$3 + $B$4*$E21 + ('Станд.норм.распр.'!C21 * $B$5 + $D$1)</f>
        <v>5753.2140035727643</v>
      </c>
      <c r="J21" s="2">
        <f>$B$3 + $B$4*$E21 + ('Станд.норм.распр.'!D21 * $B$5 + $D$1)</f>
        <v>5772.3747149902629</v>
      </c>
      <c r="K21" s="2">
        <f>$B$3 + $B$4*$E21 + ('Станд.норм.распр.'!E21 * $B$5 + $D$1)</f>
        <v>5769.6810258784972</v>
      </c>
      <c r="L21" s="2">
        <f>$B$3 + $B$4*$E21 + ('Станд.норм.распр.'!F21 * $B$5 + $D$1)</f>
        <v>5772.172800345259</v>
      </c>
      <c r="M21" s="2">
        <f>$B$3 + $B$4*$E21 + ('Станд.норм.распр.'!G21 * $B$5 + $D$1)</f>
        <v>5770.0842821868428</v>
      </c>
      <c r="N21" s="2">
        <f>$B$3 + $B$4*$E21 + ('Станд.норм.распр.'!H21 * $B$5 + $D$1)</f>
        <v>5766.3533254180511</v>
      </c>
      <c r="O21" s="2">
        <f>$B$3 + $B$4*$E21 + ('Станд.норм.распр.'!I21 * $B$5 + $D$1)</f>
        <v>5765.283504171719</v>
      </c>
      <c r="P21" s="2">
        <f>$B$3 + $B$4*$E21 + ('Станд.норм.распр.'!J21 * $B$5 + $D$1)</f>
        <v>5775.7890513239254</v>
      </c>
      <c r="Q21" s="2">
        <f>$B$3 + $B$4*$E21 + ('Станд.норм.распр.'!K21 * $B$5 + $D$1)</f>
        <v>5782.2765748023521</v>
      </c>
    </row>
    <row r="22" spans="3:17" x14ac:dyDescent="0.3">
      <c r="C22" s="4" t="s">
        <v>30</v>
      </c>
      <c r="D22" s="4" t="s">
        <v>5</v>
      </c>
      <c r="E22" s="4">
        <v>724</v>
      </c>
      <c r="F22" s="4" t="s">
        <v>248</v>
      </c>
      <c r="G22" s="4" t="s">
        <v>5</v>
      </c>
      <c r="H22" s="2">
        <f>$B$3 + $B$4*$E22 + ('Станд.норм.распр.'!B22 * $B$5 + $D$1)</f>
        <v>8073.7995942168054</v>
      </c>
      <c r="I22" s="2">
        <f>$B$3 + $B$4*$E22 + ('Станд.норм.распр.'!C22 * $B$5 + $D$1)</f>
        <v>8086.0311770034314</v>
      </c>
      <c r="J22" s="2">
        <f>$B$3 + $B$4*$E22 + ('Станд.норм.распр.'!D22 * $B$5 + $D$1)</f>
        <v>8072.5773629406176</v>
      </c>
      <c r="K22" s="2">
        <f>$B$3 + $B$4*$E22 + ('Станд.норм.распр.'!E22 * $B$5 + $D$1)</f>
        <v>8076.500793481071</v>
      </c>
      <c r="L22" s="2">
        <f>$B$3 + $B$4*$E22 + ('Станд.норм.распр.'!F22 * $B$5 + $D$1)</f>
        <v>8062.4760103315057</v>
      </c>
      <c r="M22" s="2">
        <f>$B$3 + $B$4*$E22 + ('Станд.норм.распр.'!G22 * $B$5 + $D$1)</f>
        <v>8085.7630625128222</v>
      </c>
      <c r="N22" s="2">
        <f>$B$3 + $B$4*$E22 + ('Станд.норм.распр.'!H22 * $B$5 + $D$1)</f>
        <v>8076.4588941970287</v>
      </c>
      <c r="O22" s="2">
        <f>$B$3 + $B$4*$E22 + ('Станд.норм.распр.'!I22 * $B$5 + $D$1)</f>
        <v>8077.2048037711356</v>
      </c>
      <c r="P22" s="2">
        <f>$B$3 + $B$4*$E22 + ('Станд.норм.распр.'!J22 * $B$5 + $D$1)</f>
        <v>8070.6531472738134</v>
      </c>
      <c r="Q22" s="2">
        <f>$B$3 + $B$4*$E22 + ('Станд.норм.распр.'!K22 * $B$5 + $D$1)</f>
        <v>8084.8433041633398</v>
      </c>
    </row>
    <row r="23" spans="3:17" x14ac:dyDescent="0.3">
      <c r="C23" s="4" t="s">
        <v>31</v>
      </c>
      <c r="D23" s="4" t="s">
        <v>5</v>
      </c>
      <c r="E23" s="4">
        <v>63</v>
      </c>
      <c r="F23" s="4" t="s">
        <v>249</v>
      </c>
      <c r="G23" s="4" t="s">
        <v>5</v>
      </c>
      <c r="H23" s="2">
        <f>$B$3 + $B$4*$E23 + ('Станд.норм.распр.'!B23 * $B$5 + $D$1)</f>
        <v>811.63300693809288</v>
      </c>
      <c r="I23" s="2">
        <f>$B$3 + $B$4*$E23 + ('Станд.норм.распр.'!C23 * $B$5 + $D$1)</f>
        <v>813.18564399701427</v>
      </c>
      <c r="J23" s="2">
        <f>$B$3 + $B$4*$E23 + ('Станд.норм.распр.'!D23 * $B$5 + $D$1)</f>
        <v>801.11778048852284</v>
      </c>
      <c r="K23" s="2">
        <f>$B$3 + $B$4*$E23 + ('Станд.норм.распр.'!E23 * $B$5 + $D$1)</f>
        <v>800.69171746366192</v>
      </c>
      <c r="L23" s="2">
        <f>$B$3 + $B$4*$E23 + ('Станд.норм.распр.'!F23 * $B$5 + $D$1)</f>
        <v>811.03147851102403</v>
      </c>
      <c r="M23" s="2">
        <f>$B$3 + $B$4*$E23 + ('Станд.норм.распр.'!G23 * $B$5 + $D$1)</f>
        <v>810.72100430467981</v>
      </c>
      <c r="N23" s="2">
        <f>$B$3 + $B$4*$E23 + ('Станд.норм.распр.'!H23 * $B$5 + $D$1)</f>
        <v>804.2726891428465</v>
      </c>
      <c r="O23" s="2">
        <f>$B$3 + $B$4*$E23 + ('Станд.норм.распр.'!I23 * $B$5 + $D$1)</f>
        <v>792.12298134301091</v>
      </c>
      <c r="P23" s="2">
        <f>$B$3 + $B$4*$E23 + ('Станд.норм.распр.'!J23 * $B$5 + $D$1)</f>
        <v>804.4674210534431</v>
      </c>
      <c r="Q23" s="2">
        <f>$B$3 + $B$4*$E23 + ('Станд.норм.распр.'!K23 * $B$5 + $D$1)</f>
        <v>797.9992561697436</v>
      </c>
    </row>
    <row r="24" spans="3:17" x14ac:dyDescent="0.3">
      <c r="C24" s="4" t="s">
        <v>32</v>
      </c>
      <c r="D24" s="4" t="s">
        <v>5</v>
      </c>
      <c r="E24" s="4">
        <v>298</v>
      </c>
      <c r="F24" s="4" t="s">
        <v>250</v>
      </c>
      <c r="G24" s="4" t="s">
        <v>5</v>
      </c>
      <c r="H24" s="2">
        <f>$B$3 + $B$4*$E24 + ('Станд.норм.распр.'!B24 * $B$5 + $D$1)</f>
        <v>3397.7212014326069</v>
      </c>
      <c r="I24" s="2">
        <f>$B$3 + $B$4*$E24 + ('Станд.норм.распр.'!C24 * $B$5 + $D$1)</f>
        <v>3396.284275973987</v>
      </c>
      <c r="J24" s="2">
        <f>$B$3 + $B$4*$E24 + ('Станд.норм.распр.'!D24 * $B$5 + $D$1)</f>
        <v>3378.7612996240496</v>
      </c>
      <c r="K24" s="2">
        <f>$B$3 + $B$4*$E24 + ('Станд.норм.распр.'!E24 * $B$5 + $D$1)</f>
        <v>3404.0820959637058</v>
      </c>
      <c r="L24" s="2">
        <f>$B$3 + $B$4*$E24 + ('Станд.норм.распр.'!F24 * $B$5 + $D$1)</f>
        <v>3394.2281210476649</v>
      </c>
      <c r="M24" s="2">
        <f>$B$3 + $B$4*$E24 + ('Станд.норм.распр.'!G24 * $B$5 + $D$1)</f>
        <v>3394.9400098355836</v>
      </c>
      <c r="N24" s="2">
        <f>$B$3 + $B$4*$E24 + ('Станд.норм.распр.'!H24 * $B$5 + $D$1)</f>
        <v>3388.7554770591669</v>
      </c>
      <c r="O24" s="2">
        <f>$B$3 + $B$4*$E24 + ('Станд.норм.распр.'!I24 * $B$5 + $D$1)</f>
        <v>3371.1778463986702</v>
      </c>
      <c r="P24" s="2">
        <f>$B$3 + $B$4*$E24 + ('Станд.норм.распр.'!J24 * $B$5 + $D$1)</f>
        <v>3390.3147688453755</v>
      </c>
      <c r="Q24" s="2">
        <f>$B$3 + $B$4*$E24 + ('Станд.норм.распр.'!K24 * $B$5 + $D$1)</f>
        <v>3402.848957572307</v>
      </c>
    </row>
    <row r="25" spans="3:17" x14ac:dyDescent="0.3">
      <c r="C25" s="4" t="s">
        <v>33</v>
      </c>
      <c r="D25" s="4" t="s">
        <v>5</v>
      </c>
      <c r="E25" s="4">
        <v>689</v>
      </c>
      <c r="F25" s="4" t="s">
        <v>251</v>
      </c>
      <c r="G25" s="4" t="s">
        <v>5</v>
      </c>
      <c r="H25" s="2">
        <f>$B$3 + $B$4*$E25 + ('Станд.норм.распр.'!B25 * $B$5 + $D$1)</f>
        <v>7685.5226916275278</v>
      </c>
      <c r="I25" s="2">
        <f>$B$3 + $B$4*$E25 + ('Станд.норм.распр.'!C25 * $B$5 + $D$1)</f>
        <v>7701.2163933257107</v>
      </c>
      <c r="J25" s="2">
        <f>$B$3 + $B$4*$E25 + ('Станд.норм.распр.'!D25 * $B$5 + $D$1)</f>
        <v>7702.3503649623017</v>
      </c>
      <c r="K25" s="2">
        <f>$B$3 + $B$4*$E25 + ('Станд.норм.распр.'!E25 * $B$5 + $D$1)</f>
        <v>7689.9690600210015</v>
      </c>
      <c r="L25" s="2">
        <f>$B$3 + $B$4*$E25 + ('Станд.норм.распр.'!F25 * $B$5 + $D$1)</f>
        <v>7706.0704074763344</v>
      </c>
      <c r="M25" s="2">
        <f>$B$3 + $B$4*$E25 + ('Станд.норм.распр.'!G25 * $B$5 + $D$1)</f>
        <v>7694.4043371265871</v>
      </c>
      <c r="N25" s="2">
        <f>$B$3 + $B$4*$E25 + ('Станд.норм.распр.'!H25 * $B$5 + $D$1)</f>
        <v>7699.5805306803668</v>
      </c>
      <c r="O25" s="2">
        <f>$B$3 + $B$4*$E25 + ('Станд.норм.распр.'!I25 * $B$5 + $D$1)</f>
        <v>7701.5608166955353</v>
      </c>
      <c r="P25" s="2">
        <f>$B$3 + $B$4*$E25 + ('Станд.норм.распр.'!J25 * $B$5 + $D$1)</f>
        <v>7693.9955832411069</v>
      </c>
      <c r="Q25" s="2">
        <f>$B$3 + $B$4*$E25 + ('Станд.норм.распр.'!K25 * $B$5 + $D$1)</f>
        <v>7680.2399848754867</v>
      </c>
    </row>
    <row r="26" spans="3:17" x14ac:dyDescent="0.3">
      <c r="C26" s="4" t="s">
        <v>34</v>
      </c>
      <c r="D26" s="4" t="s">
        <v>5</v>
      </c>
      <c r="E26" s="4">
        <v>278</v>
      </c>
      <c r="F26" s="4" t="s">
        <v>252</v>
      </c>
      <c r="G26" s="4" t="s">
        <v>5</v>
      </c>
      <c r="H26" s="2">
        <f>$B$3 + $B$4*$E26 + ('Станд.норм.распр.'!B26 * $B$5 + $D$1)</f>
        <v>3165.9453641673026</v>
      </c>
      <c r="I26" s="2">
        <f>$B$3 + $B$4*$E26 + ('Станд.норм.распр.'!C26 * $B$5 + $D$1)</f>
        <v>3174.9058969630569</v>
      </c>
      <c r="J26" s="2">
        <f>$B$3 + $B$4*$E26 + ('Станд.норм.распр.'!D26 * $B$5 + $D$1)</f>
        <v>3179.772046046739</v>
      </c>
      <c r="K26" s="2">
        <f>$B$3 + $B$4*$E26 + ('Станд.норм.распр.'!E26 * $B$5 + $D$1)</f>
        <v>3182.7752680378326</v>
      </c>
      <c r="L26" s="2">
        <f>$B$3 + $B$4*$E26 + ('Станд.норм.распр.'!F26 * $B$5 + $D$1)</f>
        <v>3175.5105256301904</v>
      </c>
      <c r="M26" s="2">
        <f>$B$3 + $B$4*$E26 + ('Станд.норм.распр.'!G26 * $B$5 + $D$1)</f>
        <v>3170.9958291735093</v>
      </c>
      <c r="N26" s="2">
        <f>$B$3 + $B$4*$E26 + ('Станд.норм.распр.'!H26 * $B$5 + $D$1)</f>
        <v>3181.6913299785228</v>
      </c>
      <c r="O26" s="2">
        <f>$B$3 + $B$4*$E26 + ('Станд.норм.распр.'!I26 * $B$5 + $D$1)</f>
        <v>3165.3436720311875</v>
      </c>
      <c r="P26" s="2">
        <f>$B$3 + $B$4*$E26 + ('Станд.норм.распр.'!J26 * $B$5 + $D$1)</f>
        <v>3171.9459555510839</v>
      </c>
      <c r="Q26" s="2">
        <f>$B$3 + $B$4*$E26 + ('Станд.норм.распр.'!K26 * $B$5 + $D$1)</f>
        <v>3183.1541521619074</v>
      </c>
    </row>
    <row r="27" spans="3:17" x14ac:dyDescent="0.3">
      <c r="C27" s="4" t="s">
        <v>35</v>
      </c>
      <c r="D27" s="4" t="s">
        <v>5</v>
      </c>
      <c r="E27" s="4">
        <v>701</v>
      </c>
      <c r="F27" s="4" t="s">
        <v>253</v>
      </c>
      <c r="G27" s="4" t="s">
        <v>5</v>
      </c>
      <c r="H27" s="2">
        <f>$B$3 + $B$4*$E27 + ('Станд.норм.распр.'!B27 * $B$5 + $D$1)</f>
        <v>7828.4682170735323</v>
      </c>
      <c r="I27" s="2">
        <f>$B$3 + $B$4*$E27 + ('Станд.норм.распр.'!C27 * $B$5 + $D$1)</f>
        <v>7813.3687996771187</v>
      </c>
      <c r="J27" s="2">
        <f>$B$3 + $B$4*$E27 + ('Станд.норм.распр.'!D27 * $B$5 + $D$1)</f>
        <v>7829.0215945773525</v>
      </c>
      <c r="K27" s="2">
        <f>$B$3 + $B$4*$E27 + ('Станд.норм.распр.'!E27 * $B$5 + $D$1)</f>
        <v>7820.8853777570766</v>
      </c>
      <c r="L27" s="2">
        <f>$B$3 + $B$4*$E27 + ('Станд.норм.распр.'!F27 * $B$5 + $D$1)</f>
        <v>7831.7061978370475</v>
      </c>
      <c r="M27" s="2">
        <f>$B$3 + $B$4*$E27 + ('Станд.норм.распр.'!G27 * $B$5 + $D$1)</f>
        <v>7826.5606690340064</v>
      </c>
      <c r="N27" s="2">
        <f>$B$3 + $B$4*$E27 + ('Станд.норм.распр.'!H27 * $B$5 + $D$1)</f>
        <v>7813.1511689636682</v>
      </c>
      <c r="O27" s="2">
        <f>$B$3 + $B$4*$E27 + ('Станд.норм.распр.'!I27 * $B$5 + $D$1)</f>
        <v>7811.2684944673674</v>
      </c>
      <c r="P27" s="2">
        <f>$B$3 + $B$4*$E27 + ('Станд.норм.распр.'!J27 * $B$5 + $D$1)</f>
        <v>7823.3812858772581</v>
      </c>
      <c r="Q27" s="2">
        <f>$B$3 + $B$4*$E27 + ('Станд.норм.распр.'!K27 * $B$5 + $D$1)</f>
        <v>7818.5856544652779</v>
      </c>
    </row>
    <row r="28" spans="3:17" x14ac:dyDescent="0.3">
      <c r="C28" s="4" t="s">
        <v>36</v>
      </c>
      <c r="D28" s="4" t="s">
        <v>5</v>
      </c>
      <c r="E28" s="4">
        <v>219</v>
      </c>
      <c r="F28" s="4" t="s">
        <v>254</v>
      </c>
      <c r="G28" s="4" t="s">
        <v>5</v>
      </c>
      <c r="H28" s="2">
        <f>$B$3 + $B$4*$E28 + ('Станд.норм.распр.'!B28 * $B$5 + $D$1)</f>
        <v>2527.7790354074095</v>
      </c>
      <c r="I28" s="2">
        <f>$B$3 + $B$4*$E28 + ('Станд.норм.распр.'!C28 * $B$5 + $D$1)</f>
        <v>2533.4051832749974</v>
      </c>
      <c r="J28" s="2">
        <f>$B$3 + $B$4*$E28 + ('Станд.норм.распр.'!D28 * $B$5 + $D$1)</f>
        <v>2523.4142657417106</v>
      </c>
      <c r="K28" s="2">
        <f>$B$3 + $B$4*$E28 + ('Станд.норм.распр.'!E28 * $B$5 + $D$1)</f>
        <v>2524.5438990885741</v>
      </c>
      <c r="L28" s="2">
        <f>$B$3 + $B$4*$E28 + ('Станд.норм.распр.'!F28 * $B$5 + $D$1)</f>
        <v>2528.5936925491551</v>
      </c>
      <c r="M28" s="2">
        <f>$B$3 + $B$4*$E28 + ('Станд.норм.распр.'!G28 * $B$5 + $D$1)</f>
        <v>2527.8728406909504</v>
      </c>
      <c r="N28" s="2">
        <f>$B$3 + $B$4*$E28 + ('Станд.норм.распр.'!H28 * $B$5 + $D$1)</f>
        <v>2523.647387423669</v>
      </c>
      <c r="O28" s="2">
        <f>$B$3 + $B$4*$E28 + ('Станд.норм.распр.'!I28 * $B$5 + $D$1)</f>
        <v>2513.0768170846277</v>
      </c>
      <c r="P28" s="2">
        <f>$B$3 + $B$4*$E28 + ('Станд.норм.распр.'!J28 * $B$5 + $D$1)</f>
        <v>2525.4753319394222</v>
      </c>
      <c r="Q28" s="2">
        <f>$B$3 + $B$4*$E28 + ('Станд.норм.распр.'!K28 * $B$5 + $D$1)</f>
        <v>2521.9722755344701</v>
      </c>
    </row>
    <row r="29" spans="3:17" x14ac:dyDescent="0.3">
      <c r="C29" s="4" t="s">
        <v>37</v>
      </c>
      <c r="D29" s="4" t="s">
        <v>5</v>
      </c>
      <c r="E29" s="4">
        <v>666</v>
      </c>
      <c r="F29" s="4" t="s">
        <v>255</v>
      </c>
      <c r="G29" s="4" t="s">
        <v>5</v>
      </c>
      <c r="H29" s="2">
        <f>$B$3 + $B$4*$E29 + ('Станд.норм.распр.'!B29 * $B$5 + $D$1)</f>
        <v>7443.814195679297</v>
      </c>
      <c r="I29" s="2">
        <f>$B$3 + $B$4*$E29 + ('Станд.норм.распр.'!C29 * $B$5 + $D$1)</f>
        <v>7449.1946776592522</v>
      </c>
      <c r="J29" s="2">
        <f>$B$3 + $B$4*$E29 + ('Станд.норм.распр.'!D29 * $B$5 + $D$1)</f>
        <v>7432.8436636764673</v>
      </c>
      <c r="K29" s="2">
        <f>$B$3 + $B$4*$E29 + ('Станд.норм.распр.'!E29 * $B$5 + $D$1)</f>
        <v>7426.5104564378271</v>
      </c>
      <c r="L29" s="2">
        <f>$B$3 + $B$4*$E29 + ('Станд.норм.распр.'!F29 * $B$5 + $D$1)</f>
        <v>7446.5347535382898</v>
      </c>
      <c r="M29" s="2">
        <f>$B$3 + $B$4*$E29 + ('Станд.норм.распр.'!G29 * $B$5 + $D$1)</f>
        <v>7447.186602033471</v>
      </c>
      <c r="N29" s="2">
        <f>$B$3 + $B$4*$E29 + ('Станд.норм.распр.'!H29 * $B$5 + $D$1)</f>
        <v>7435.4125246404146</v>
      </c>
      <c r="O29" s="2">
        <f>$B$3 + $B$4*$E29 + ('Станд.норм.распр.'!I29 * $B$5 + $D$1)</f>
        <v>7443.8134385249577</v>
      </c>
      <c r="P29" s="2">
        <f>$B$3 + $B$4*$E29 + ('Станд.норм.распр.'!J29 * $B$5 + $D$1)</f>
        <v>7435.6995270622429</v>
      </c>
      <c r="Q29" s="2">
        <f>$B$3 + $B$4*$E29 + ('Станд.норм.распр.'!K29 * $B$5 + $D$1)</f>
        <v>7444.4274702304392</v>
      </c>
    </row>
    <row r="30" spans="3:17" x14ac:dyDescent="0.3">
      <c r="C30" s="4" t="s">
        <v>38</v>
      </c>
      <c r="D30" s="4" t="s">
        <v>5</v>
      </c>
      <c r="E30" s="4">
        <v>92</v>
      </c>
      <c r="F30" s="4" t="s">
        <v>256</v>
      </c>
      <c r="G30" s="4" t="s">
        <v>5</v>
      </c>
      <c r="H30" s="2">
        <f>$B$3 + $B$4*$E30 + ('Станд.норм.распр.'!B30 * $B$5 + $D$1)</f>
        <v>1121.5561997921905</v>
      </c>
      <c r="I30" s="2">
        <f>$B$3 + $B$4*$E30 + ('Станд.норм.распр.'!C30 * $B$5 + $D$1)</f>
        <v>1136.3596516964899</v>
      </c>
      <c r="J30" s="2">
        <f>$B$3 + $B$4*$E30 + ('Станд.норм.распр.'!D30 * $B$5 + $D$1)</f>
        <v>1119.2783316580753</v>
      </c>
      <c r="K30" s="2">
        <f>$B$3 + $B$4*$E30 + ('Станд.норм.распр.'!E30 * $B$5 + $D$1)</f>
        <v>1128.6704117317422</v>
      </c>
      <c r="L30" s="2">
        <f>$B$3 + $B$4*$E30 + ('Станд.норм.распр.'!F30 * $B$5 + $D$1)</f>
        <v>1132.8589383772633</v>
      </c>
      <c r="M30" s="2">
        <f>$B$3 + $B$4*$E30 + ('Станд.норм.распр.'!G30 * $B$5 + $D$1)</f>
        <v>1133.3641444942041</v>
      </c>
      <c r="N30" s="2">
        <f>$B$3 + $B$4*$E30 + ('Станд.норм.распр.'!H30 * $B$5 + $D$1)</f>
        <v>1131.8396653912496</v>
      </c>
      <c r="O30" s="2">
        <f>$B$3 + $B$4*$E30 + ('Станд.норм.распр.'!I30 * $B$5 + $D$1)</f>
        <v>1141.6448140842258</v>
      </c>
      <c r="P30" s="2">
        <f>$B$3 + $B$4*$E30 + ('Станд.норм.распр.'!J30 * $B$5 + $D$1)</f>
        <v>1124.9604884831351</v>
      </c>
      <c r="Q30" s="2">
        <f>$B$3 + $B$4*$E30 + ('Станд.норм.распр.'!K30 * $B$5 + $D$1)</f>
        <v>1137.7126046461635</v>
      </c>
    </row>
    <row r="31" spans="3:17" x14ac:dyDescent="0.3">
      <c r="C31" s="4" t="s">
        <v>39</v>
      </c>
      <c r="D31" s="4" t="s">
        <v>5</v>
      </c>
      <c r="E31" s="4">
        <v>250</v>
      </c>
      <c r="F31" s="4" t="s">
        <v>257</v>
      </c>
      <c r="G31" s="4" t="s">
        <v>5</v>
      </c>
      <c r="H31" s="2">
        <f>$B$3 + $B$4*$E31 + ('Станд.норм.распр.'!B31 * $B$5 + $D$1)</f>
        <v>2866.5118185931206</v>
      </c>
      <c r="I31" s="2">
        <f>$B$3 + $B$4*$E31 + ('Станд.норм.распр.'!C31 * $B$5 + $D$1)</f>
        <v>2876.1519587992225</v>
      </c>
      <c r="J31" s="2">
        <f>$B$3 + $B$4*$E31 + ('Станд.норм.распр.'!D31 * $B$5 + $D$1)</f>
        <v>2890.3971014646813</v>
      </c>
      <c r="K31" s="2">
        <f>$B$3 + $B$4*$E31 + ('Станд.норм.распр.'!E31 * $B$5 + $D$1)</f>
        <v>2852.6396358306229</v>
      </c>
      <c r="L31" s="2">
        <f>$B$3 + $B$4*$E31 + ('Станд.норм.распр.'!F31 * $B$5 + $D$1)</f>
        <v>2851.185804320703</v>
      </c>
      <c r="M31" s="2">
        <f>$B$3 + $B$4*$E31 + ('Станд.норм.распр.'!G31 * $B$5 + $D$1)</f>
        <v>2860.1141406856768</v>
      </c>
      <c r="N31" s="2">
        <f>$B$3 + $B$4*$E31 + ('Станд.норм.распр.'!H31 * $B$5 + $D$1)</f>
        <v>2866.5548024495947</v>
      </c>
      <c r="O31" s="2">
        <f>$B$3 + $B$4*$E31 + ('Станд.норм.распр.'!I31 * $B$5 + $D$1)</f>
        <v>2866.0680238321802</v>
      </c>
      <c r="P31" s="2">
        <f>$B$3 + $B$4*$E31 + ('Станд.норм.распр.'!J31 * $B$5 + $D$1)</f>
        <v>2869.9497187976376</v>
      </c>
      <c r="Q31" s="2">
        <f>$B$3 + $B$4*$E31 + ('Станд.норм.распр.'!K31 * $B$5 + $D$1)</f>
        <v>2859.3921326323325</v>
      </c>
    </row>
    <row r="32" spans="3:17" x14ac:dyDescent="0.3">
      <c r="C32" s="4" t="s">
        <v>40</v>
      </c>
      <c r="D32" s="4" t="s">
        <v>5</v>
      </c>
      <c r="E32" s="4">
        <v>252</v>
      </c>
      <c r="F32" s="4" t="s">
        <v>258</v>
      </c>
      <c r="G32" s="4" t="s">
        <v>5</v>
      </c>
      <c r="H32" s="2">
        <f>$B$3 + $B$4*$E32 + ('Станд.норм.распр.'!B32 * $B$5 + $D$1)</f>
        <v>2906.6844742933754</v>
      </c>
      <c r="I32" s="2">
        <f>$B$3 + $B$4*$E32 + ('Станд.норм.распр.'!C32 * $B$5 + $D$1)</f>
        <v>2875.0967524152074</v>
      </c>
      <c r="J32" s="2">
        <f>$B$3 + $B$4*$E32 + ('Станд.норм.распр.'!D32 * $B$5 + $D$1)</f>
        <v>2884.011774096085</v>
      </c>
      <c r="K32" s="2">
        <f>$B$3 + $B$4*$E32 + ('Станд.норм.распр.'!E32 * $B$5 + $D$1)</f>
        <v>2898.116065590817</v>
      </c>
      <c r="L32" s="2">
        <f>$B$3 + $B$4*$E32 + ('Станд.норм.распр.'!F32 * $B$5 + $D$1)</f>
        <v>2888.6193754365522</v>
      </c>
      <c r="M32" s="2">
        <f>$B$3 + $B$4*$E32 + ('Станд.норм.распр.'!G32 * $B$5 + $D$1)</f>
        <v>2888.6150678422709</v>
      </c>
      <c r="N32" s="2">
        <f>$B$3 + $B$4*$E32 + ('Станд.норм.распр.'!H32 * $B$5 + $D$1)</f>
        <v>2886.6322034096229</v>
      </c>
      <c r="O32" s="2">
        <f>$B$3 + $B$4*$E32 + ('Станд.норм.распр.'!I32 * $B$5 + $D$1)</f>
        <v>2877.0884980636183</v>
      </c>
      <c r="P32" s="2">
        <f>$B$3 + $B$4*$E32 + ('Станд.норм.распр.'!J32 * $B$5 + $D$1)</f>
        <v>2893.1837575887912</v>
      </c>
      <c r="Q32" s="2">
        <f>$B$3 + $B$4*$E32 + ('Станд.норм.распр.'!K32 * $B$5 + $D$1)</f>
        <v>2873.1280078878044</v>
      </c>
    </row>
    <row r="33" spans="3:17" x14ac:dyDescent="0.3">
      <c r="C33" s="4" t="s">
        <v>41</v>
      </c>
      <c r="D33" s="4" t="s">
        <v>5</v>
      </c>
      <c r="E33" s="4">
        <v>110</v>
      </c>
      <c r="F33" s="4" t="s">
        <v>259</v>
      </c>
      <c r="G33" s="4" t="s">
        <v>5</v>
      </c>
      <c r="H33" s="2">
        <f>$B$3 + $B$4*$E33 + ('Станд.норм.распр.'!B33 * $B$5 + $D$1)</f>
        <v>1324.9030804903887</v>
      </c>
      <c r="I33" s="2">
        <f>$B$3 + $B$4*$E33 + ('Станд.норм.распр.'!C33 * $B$5 + $D$1)</f>
        <v>1308.7918388695689</v>
      </c>
      <c r="J33" s="2">
        <f>$B$3 + $B$4*$E33 + ('Станд.норм.распр.'!D33 * $B$5 + $D$1)</f>
        <v>1344.2984483621549</v>
      </c>
      <c r="K33" s="2">
        <f>$B$3 + $B$4*$E33 + ('Станд.норм.распр.'!E33 * $B$5 + $D$1)</f>
        <v>1315.0230553723522</v>
      </c>
      <c r="L33" s="2">
        <f>$B$3 + $B$4*$E33 + ('Станд.норм.распр.'!F33 * $B$5 + $D$1)</f>
        <v>1317.1382990325801</v>
      </c>
      <c r="M33" s="2">
        <f>$B$3 + $B$4*$E33 + ('Станд.норм.распр.'!G33 * $B$5 + $D$1)</f>
        <v>1333.7393990472483</v>
      </c>
      <c r="N33" s="2">
        <f>$B$3 + $B$4*$E33 + ('Станд.норм.распр.'!H33 * $B$5 + $D$1)</f>
        <v>1324.0664454091748</v>
      </c>
      <c r="O33" s="2">
        <f>$B$3 + $B$4*$E33 + ('Станд.норм.распр.'!I33 * $B$5 + $D$1)</f>
        <v>1324.15388650354</v>
      </c>
      <c r="P33" s="2">
        <f>$B$3 + $B$4*$E33 + ('Станд.норм.распр.'!J33 * $B$5 + $D$1)</f>
        <v>1319.7596287458728</v>
      </c>
      <c r="Q33" s="2">
        <f>$B$3 + $B$4*$E33 + ('Станд.норм.распр.'!K33 * $B$5 + $D$1)</f>
        <v>1299.6305987830274</v>
      </c>
    </row>
    <row r="34" spans="3:17" x14ac:dyDescent="0.3">
      <c r="C34" s="4" t="s">
        <v>42</v>
      </c>
      <c r="D34" s="4" t="s">
        <v>5</v>
      </c>
      <c r="E34" s="4">
        <v>185</v>
      </c>
      <c r="F34" s="4" t="s">
        <v>260</v>
      </c>
      <c r="G34" s="4" t="s">
        <v>5</v>
      </c>
      <c r="H34" s="2">
        <f>$B$3 + $B$4*$E34 + ('Станд.норм.распр.'!B34 * $B$5 + $D$1)</f>
        <v>2155.4900200413831</v>
      </c>
      <c r="I34" s="2">
        <f>$B$3 + $B$4*$E34 + ('Станд.норм.распр.'!C34 * $B$5 + $D$1)</f>
        <v>2154.5794907893869</v>
      </c>
      <c r="J34" s="2">
        <f>$B$3 + $B$4*$E34 + ('Станд.норм.распр.'!D34 * $B$5 + $D$1)</f>
        <v>2144.653934092843</v>
      </c>
      <c r="K34" s="2">
        <f>$B$3 + $B$4*$E34 + ('Станд.норм.распр.'!E34 * $B$5 + $D$1)</f>
        <v>2148.5381665485183</v>
      </c>
      <c r="L34" s="2">
        <f>$B$3 + $B$4*$E34 + ('Станд.норм.распр.'!F34 * $B$5 + $D$1)</f>
        <v>2152.0973342290963</v>
      </c>
      <c r="M34" s="2">
        <f>$B$3 + $B$4*$E34 + ('Станд.норм.распр.'!G34 * $B$5 + $D$1)</f>
        <v>2167.5198314284207</v>
      </c>
      <c r="N34" s="2">
        <f>$B$3 + $B$4*$E34 + ('Станд.норм.распр.'!H34 * $B$5 + $D$1)</f>
        <v>2118.1545963287354</v>
      </c>
      <c r="O34" s="2">
        <f>$B$3 + $B$4*$E34 + ('Станд.норм.распр.'!I34 * $B$5 + $D$1)</f>
        <v>2147.5670751811995</v>
      </c>
      <c r="P34" s="2">
        <f>$B$3 + $B$4*$E34 + ('Станд.норм.распр.'!J34 * $B$5 + $D$1)</f>
        <v>2132.2937373867026</v>
      </c>
      <c r="Q34" s="2">
        <f>$B$3 + $B$4*$E34 + ('Станд.норм.распр.'!K34 * $B$5 + $D$1)</f>
        <v>2148.7896543391107</v>
      </c>
    </row>
    <row r="35" spans="3:17" x14ac:dyDescent="0.3">
      <c r="C35" s="4" t="s">
        <v>43</v>
      </c>
      <c r="D35" s="4" t="s">
        <v>5</v>
      </c>
      <c r="E35" s="4">
        <v>281</v>
      </c>
      <c r="F35" s="4" t="s">
        <v>261</v>
      </c>
      <c r="G35" s="4" t="s">
        <v>5</v>
      </c>
      <c r="H35" s="2">
        <f>$B$3 + $B$4*$E35 + ('Станд.норм.распр.'!B35 * $B$5 + $D$1)</f>
        <v>3194.9300928518642</v>
      </c>
      <c r="I35" s="2">
        <f>$B$3 + $B$4*$E35 + ('Станд.норм.распр.'!C35 * $B$5 + $D$1)</f>
        <v>3203.4533076258231</v>
      </c>
      <c r="J35" s="2">
        <f>$B$3 + $B$4*$E35 + ('Станд.норм.распр.'!D35 * $B$5 + $D$1)</f>
        <v>3195.8504446466395</v>
      </c>
      <c r="K35" s="2">
        <f>$B$3 + $B$4*$E35 + ('Станд.норм.распр.'!E35 * $B$5 + $D$1)</f>
        <v>3207.0326933736214</v>
      </c>
      <c r="L35" s="2">
        <f>$B$3 + $B$4*$E35 + ('Станд.норм.распр.'!F35 * $B$5 + $D$1)</f>
        <v>3204.5243842931814</v>
      </c>
      <c r="M35" s="2">
        <f>$B$3 + $B$4*$E35 + ('Станд.норм.распр.'!G35 * $B$5 + $D$1)</f>
        <v>3196.104214132065</v>
      </c>
      <c r="N35" s="2">
        <f>$B$3 + $B$4*$E35 + ('Станд.норм.распр.'!H35 * $B$5 + $D$1)</f>
        <v>3220.9632691065781</v>
      </c>
      <c r="O35" s="2">
        <f>$B$3 + $B$4*$E35 + ('Станд.норм.распр.'!I35 * $B$5 + $D$1)</f>
        <v>3213.8220144789375</v>
      </c>
      <c r="P35" s="2">
        <f>$B$3 + $B$4*$E35 + ('Станд.норм.распр.'!J35 * $B$5 + $D$1)</f>
        <v>3208.2975299291138</v>
      </c>
      <c r="Q35" s="2">
        <f>$B$3 + $B$4*$E35 + ('Станд.норм.распр.'!K35 * $B$5 + $D$1)</f>
        <v>3210.5411624089174</v>
      </c>
    </row>
    <row r="36" spans="3:17" x14ac:dyDescent="0.3">
      <c r="C36" s="4" t="s">
        <v>44</v>
      </c>
      <c r="D36" s="4" t="s">
        <v>5</v>
      </c>
      <c r="E36" s="4">
        <v>315</v>
      </c>
      <c r="F36" s="4" t="s">
        <v>262</v>
      </c>
      <c r="G36" s="4" t="s">
        <v>5</v>
      </c>
      <c r="H36" s="2">
        <f>$B$3 + $B$4*$E36 + ('Станд.норм.распр.'!B36 * $B$5 + $D$1)</f>
        <v>3576.5761033965682</v>
      </c>
      <c r="I36" s="2">
        <f>$B$3 + $B$4*$E36 + ('Станд.норм.распр.'!C36 * $B$5 + $D$1)</f>
        <v>3591.1297352961847</v>
      </c>
      <c r="J36" s="2">
        <f>$B$3 + $B$4*$E36 + ('Станд.норм.распр.'!D36 * $B$5 + $D$1)</f>
        <v>3584.7946965625888</v>
      </c>
      <c r="K36" s="2">
        <f>$B$3 + $B$4*$E36 + ('Станд.норм.распр.'!E36 * $B$5 + $D$1)</f>
        <v>3584.9883336689381</v>
      </c>
      <c r="L36" s="2">
        <f>$B$3 + $B$4*$E36 + ('Станд.норм.распр.'!F36 * $B$5 + $D$1)</f>
        <v>3587.8131127995439</v>
      </c>
      <c r="M36" s="2">
        <f>$B$3 + $B$4*$E36 + ('Станд.норм.распр.'!G36 * $B$5 + $D$1)</f>
        <v>3569.7225469542027</v>
      </c>
      <c r="N36" s="2">
        <f>$B$3 + $B$4*$E36 + ('Станд.норм.распр.'!H36 * $B$5 + $D$1)</f>
        <v>3564.6306021683849</v>
      </c>
      <c r="O36" s="2">
        <f>$B$3 + $B$4*$E36 + ('Станд.норм.распр.'!I36 * $B$5 + $D$1)</f>
        <v>3574.1438985590357</v>
      </c>
      <c r="P36" s="2">
        <f>$B$3 + $B$4*$E36 + ('Станд.норм.распр.'!J36 * $B$5 + $D$1)</f>
        <v>3564.2484233997529</v>
      </c>
      <c r="Q36" s="2">
        <f>$B$3 + $B$4*$E36 + ('Станд.норм.распр.'!K36 * $B$5 + $D$1)</f>
        <v>3589.6633115137811</v>
      </c>
    </row>
    <row r="37" spans="3:17" x14ac:dyDescent="0.3">
      <c r="C37" s="4" t="s">
        <v>45</v>
      </c>
      <c r="D37" s="4" t="s">
        <v>5</v>
      </c>
      <c r="E37" s="4">
        <v>883</v>
      </c>
      <c r="F37" s="4" t="s">
        <v>263</v>
      </c>
      <c r="G37" s="4" t="s">
        <v>5</v>
      </c>
      <c r="H37" s="2">
        <f>$B$3 + $B$4*$E37 + ('Станд.норм.распр.'!B37 * $B$5 + $D$1)</f>
        <v>9828.3479188964993</v>
      </c>
      <c r="I37" s="2">
        <f>$B$3 + $B$4*$E37 + ('Станд.норм.распр.'!C37 * $B$5 + $D$1)</f>
        <v>9830.9426254261343</v>
      </c>
      <c r="J37" s="2">
        <f>$B$3 + $B$4*$E37 + ('Станд.норм.распр.'!D37 * $B$5 + $D$1)</f>
        <v>9826.291160293069</v>
      </c>
      <c r="K37" s="2">
        <f>$B$3 + $B$4*$E37 + ('Станд.норм.распр.'!E37 * $B$5 + $D$1)</f>
        <v>9819.9395971776103</v>
      </c>
      <c r="L37" s="2">
        <f>$B$3 + $B$4*$E37 + ('Станд.норм.распр.'!F37 * $B$5 + $D$1)</f>
        <v>9819.6857663012925</v>
      </c>
      <c r="M37" s="2">
        <f>$B$3 + $B$4*$E37 + ('Станд.норм.распр.'!G37 * $B$5 + $D$1)</f>
        <v>9829.5885060495057</v>
      </c>
      <c r="N37" s="2">
        <f>$B$3 + $B$4*$E37 + ('Станд.норм.распр.'!H37 * $B$5 + $D$1)</f>
        <v>9822.8639727992704</v>
      </c>
      <c r="O37" s="2">
        <f>$B$3 + $B$4*$E37 + ('Станд.норм.распр.'!I37 * $B$5 + $D$1)</f>
        <v>9833.6301140577707</v>
      </c>
      <c r="P37" s="2">
        <f>$B$3 + $B$4*$E37 + ('Станд.норм.распр.'!J37 * $B$5 + $D$1)</f>
        <v>9816.7871953180584</v>
      </c>
      <c r="Q37" s="2">
        <f>$B$3 + $B$4*$E37 + ('Станд.норм.распр.'!K37 * $B$5 + $D$1)</f>
        <v>9824.2359057665017</v>
      </c>
    </row>
    <row r="38" spans="3:17" x14ac:dyDescent="0.3">
      <c r="C38" s="4" t="s">
        <v>46</v>
      </c>
      <c r="D38" s="4" t="s">
        <v>5</v>
      </c>
      <c r="E38" s="4">
        <v>75</v>
      </c>
      <c r="F38" s="4" t="s">
        <v>264</v>
      </c>
      <c r="G38" s="4" t="s">
        <v>5</v>
      </c>
      <c r="H38" s="2">
        <f>$B$3 + $B$4*$E38 + ('Станд.норм.распр.'!B38 * $B$5 + $D$1)</f>
        <v>940.76797584572341</v>
      </c>
      <c r="I38" s="2">
        <f>$B$3 + $B$4*$E38 + ('Станд.норм.распр.'!C38 * $B$5 + $D$1)</f>
        <v>939.41702833186719</v>
      </c>
      <c r="J38" s="2">
        <f>$B$3 + $B$4*$E38 + ('Станд.норм.распр.'!D38 * $B$5 + $D$1)</f>
        <v>951.7525254356442</v>
      </c>
      <c r="K38" s="2">
        <f>$B$3 + $B$4*$E38 + ('Станд.норм.распр.'!E38 * $B$5 + $D$1)</f>
        <v>933.46882384290802</v>
      </c>
      <c r="L38" s="2">
        <f>$B$3 + $B$4*$E38 + ('Станд.норм.распр.'!F38 * $B$5 + $D$1)</f>
        <v>951.41937752638478</v>
      </c>
      <c r="M38" s="2">
        <f>$B$3 + $B$4*$E38 + ('Станд.норм.распр.'!G38 * $B$5 + $D$1)</f>
        <v>935.17601247337006</v>
      </c>
      <c r="N38" s="2">
        <f>$B$3 + $B$4*$E38 + ('Станд.норм.распр.'!H38 * $B$5 + $D$1)</f>
        <v>952.37838511972222</v>
      </c>
      <c r="O38" s="2">
        <f>$B$3 + $B$4*$E38 + ('Станд.норм.распр.'!I38 * $B$5 + $D$1)</f>
        <v>947.66968321133754</v>
      </c>
      <c r="P38" s="2">
        <f>$B$3 + $B$4*$E38 + ('Станд.норм.распр.'!J38 * $B$5 + $D$1)</f>
        <v>937.15474325259856</v>
      </c>
      <c r="Q38" s="2">
        <f>$B$3 + $B$4*$E38 + ('Станд.норм.распр.'!K38 * $B$5 + $D$1)</f>
        <v>947.87112719283323</v>
      </c>
    </row>
    <row r="39" spans="3:17" x14ac:dyDescent="0.3">
      <c r="C39" s="4" t="s">
        <v>47</v>
      </c>
      <c r="D39" s="4" t="s">
        <v>5</v>
      </c>
      <c r="E39" s="4">
        <v>763</v>
      </c>
      <c r="F39" s="4" t="s">
        <v>265</v>
      </c>
      <c r="G39" s="4" t="s">
        <v>5</v>
      </c>
      <c r="H39" s="2">
        <f>$B$3 + $B$4*$E39 + ('Станд.норм.распр.'!B39 * $B$5 + $D$1)</f>
        <v>8503.7510098031198</v>
      </c>
      <c r="I39" s="2">
        <f>$B$3 + $B$4*$E39 + ('Станд.норм.распр.'!C39 * $B$5 + $D$1)</f>
        <v>8523.009926184779</v>
      </c>
      <c r="J39" s="2">
        <f>$B$3 + $B$4*$E39 + ('Станд.норм.распр.'!D39 * $B$5 + $D$1)</f>
        <v>8517.0185843621148</v>
      </c>
      <c r="K39" s="2">
        <f>$B$3 + $B$4*$E39 + ('Станд.норм.распр.'!E39 * $B$5 + $D$1)</f>
        <v>8503.8111933412729</v>
      </c>
      <c r="L39" s="2">
        <f>$B$3 + $B$4*$E39 + ('Станд.норм.распр.'!F39 * $B$5 + $D$1)</f>
        <v>8503.6176483212621</v>
      </c>
      <c r="M39" s="2">
        <f>$B$3 + $B$4*$E39 + ('Станд.норм.распр.'!G39 * $B$5 + $D$1)</f>
        <v>8497.2568970355787</v>
      </c>
      <c r="N39" s="2">
        <f>$B$3 + $B$4*$E39 + ('Станд.норм.распр.'!H39 * $B$5 + $D$1)</f>
        <v>8499.6905547908973</v>
      </c>
      <c r="O39" s="2">
        <f>$B$3 + $B$4*$E39 + ('Станд.норм.распр.'!I39 * $B$5 + $D$1)</f>
        <v>8508.8002776869253</v>
      </c>
      <c r="P39" s="2">
        <f>$B$3 + $B$4*$E39 + ('Станд.норм.распр.'!J39 * $B$5 + $D$1)</f>
        <v>8499.4602775536187</v>
      </c>
      <c r="Q39" s="2">
        <f>$B$3 + $B$4*$E39 + ('Станд.норм.распр.'!K39 * $B$5 + $D$1)</f>
        <v>8511.8107744987647</v>
      </c>
    </row>
    <row r="40" spans="3:17" x14ac:dyDescent="0.3">
      <c r="C40" s="4" t="s">
        <v>48</v>
      </c>
      <c r="D40" s="4" t="s">
        <v>5</v>
      </c>
      <c r="E40" s="4">
        <v>438</v>
      </c>
      <c r="F40" s="4" t="s">
        <v>266</v>
      </c>
      <c r="G40" s="4" t="s">
        <v>5</v>
      </c>
      <c r="H40" s="2">
        <f>$B$3 + $B$4*$E40 + ('Станд.норм.распр.'!B40 * $B$5 + $D$1)</f>
        <v>4941.7159477263631</v>
      </c>
      <c r="I40" s="2">
        <f>$B$3 + $B$4*$E40 + ('Станд.норм.распр.'!C40 * $B$5 + $D$1)</f>
        <v>4918.6007829041337</v>
      </c>
      <c r="J40" s="2">
        <f>$B$3 + $B$4*$E40 + ('Станд.норм.распр.'!D40 * $B$5 + $D$1)</f>
        <v>4947.3418295667507</v>
      </c>
      <c r="K40" s="2">
        <f>$B$3 + $B$4*$E40 + ('Станд.норм.распр.'!E40 * $B$5 + $D$1)</f>
        <v>4945.1941715153516</v>
      </c>
      <c r="L40" s="2">
        <f>$B$3 + $B$4*$E40 + ('Станд.норм.распр.'!F40 * $B$5 + $D$1)</f>
        <v>4938.3479615164397</v>
      </c>
      <c r="M40" s="2">
        <f>$B$3 + $B$4*$E40 + ('Станд.норм.распр.'!G40 * $B$5 + $D$1)</f>
        <v>4930.4428200150433</v>
      </c>
      <c r="N40" s="2">
        <f>$B$3 + $B$4*$E40 + ('Станд.норм.распр.'!H40 * $B$5 + $D$1)</f>
        <v>4933.3138060239726</v>
      </c>
      <c r="O40" s="2">
        <f>$B$3 + $B$4*$E40 + ('Станд.норм.распр.'!I40 * $B$5 + $D$1)</f>
        <v>4941.0554021880962</v>
      </c>
      <c r="P40" s="2">
        <f>$B$3 + $B$4*$E40 + ('Станд.норм.распр.'!J40 * $B$5 + $D$1)</f>
        <v>4937.2502718972391</v>
      </c>
      <c r="Q40" s="2">
        <f>$B$3 + $B$4*$E40 + ('Станд.норм.распр.'!K40 * $B$5 + $D$1)</f>
        <v>4934.3668235371588</v>
      </c>
    </row>
    <row r="41" spans="3:17" x14ac:dyDescent="0.3">
      <c r="C41" s="4" t="s">
        <v>49</v>
      </c>
      <c r="D41" s="4" t="s">
        <v>5</v>
      </c>
      <c r="E41" s="4">
        <v>752</v>
      </c>
      <c r="F41" s="4" t="s">
        <v>267</v>
      </c>
      <c r="G41" s="4" t="s">
        <v>5</v>
      </c>
      <c r="H41" s="2">
        <f>$B$3 + $B$4*$E41 + ('Станд.норм.распр.'!B41 * $B$5 + $D$1)</f>
        <v>8380.3577881822421</v>
      </c>
      <c r="I41" s="2">
        <f>$B$3 + $B$4*$E41 + ('Станд.норм.распр.'!C41 * $B$5 + $D$1)</f>
        <v>8390.8012384468166</v>
      </c>
      <c r="J41" s="2">
        <f>$B$3 + $B$4*$E41 + ('Станд.норм.распр.'!D41 * $B$5 + $D$1)</f>
        <v>8397.3787200461957</v>
      </c>
      <c r="K41" s="2">
        <f>$B$3 + $B$4*$E41 + ('Станд.норм.распр.'!E41 * $B$5 + $D$1)</f>
        <v>8383.8470521000418</v>
      </c>
      <c r="L41" s="2">
        <f>$B$3 + $B$4*$E41 + ('Станд.норм.распр.'!F41 * $B$5 + $D$1)</f>
        <v>8390.2365240915387</v>
      </c>
      <c r="M41" s="2">
        <f>$B$3 + $B$4*$E41 + ('Станд.норм.распр.'!G41 * $B$5 + $D$1)</f>
        <v>8374.1462372286478</v>
      </c>
      <c r="N41" s="2">
        <f>$B$3 + $B$4*$E41 + ('Станд.норм.распр.'!H41 * $B$5 + $D$1)</f>
        <v>8362.2661173008382</v>
      </c>
      <c r="O41" s="2">
        <f>$B$3 + $B$4*$E41 + ('Станд.норм.распр.'!I41 * $B$5 + $D$1)</f>
        <v>8374.5982788327965</v>
      </c>
      <c r="P41" s="2">
        <f>$B$3 + $B$4*$E41 + ('Станд.норм.распр.'!J41 * $B$5 + $D$1)</f>
        <v>8387.8614332475408</v>
      </c>
      <c r="Q41" s="2">
        <f>$B$3 + $B$4*$E41 + ('Станд.норм.распр.'!K41 * $B$5 + $D$1)</f>
        <v>8379.953119883372</v>
      </c>
    </row>
    <row r="42" spans="3:17" x14ac:dyDescent="0.3">
      <c r="C42" s="4" t="s">
        <v>50</v>
      </c>
      <c r="D42" s="4" t="s">
        <v>5</v>
      </c>
      <c r="E42" s="4">
        <v>607</v>
      </c>
      <c r="F42" s="4" t="s">
        <v>268</v>
      </c>
      <c r="G42" s="4" t="s">
        <v>5</v>
      </c>
      <c r="H42" s="2">
        <f>$B$3 + $B$4*$E42 + ('Станд.норм.распр.'!B42 * $B$5 + $D$1)</f>
        <v>6791.0526733856532</v>
      </c>
      <c r="I42" s="2">
        <f>$B$3 + $B$4*$E42 + ('Станд.норм.распр.'!C42 * $B$5 + $D$1)</f>
        <v>6794.3513492780912</v>
      </c>
      <c r="J42" s="2">
        <f>$B$3 + $B$4*$E42 + ('Станд.норм.распр.'!D42 * $B$5 + $D$1)</f>
        <v>6768.5548349134624</v>
      </c>
      <c r="K42" s="2">
        <f>$B$3 + $B$4*$E42 + ('Станд.норм.распр.'!E42 * $B$5 + $D$1)</f>
        <v>6799.0794711720955</v>
      </c>
      <c r="L42" s="2">
        <f>$B$3 + $B$4*$E42 + ('Станд.норм.распр.'!F42 * $B$5 + $D$1)</f>
        <v>6780.151042427693</v>
      </c>
      <c r="M42" s="2">
        <f>$B$3 + $B$4*$E42 + ('Станд.норм.распр.'!G42 * $B$5 + $D$1)</f>
        <v>6775.481528372271</v>
      </c>
      <c r="N42" s="2">
        <f>$B$3 + $B$4*$E42 + ('Станд.норм.распр.'!H42 * $B$5 + $D$1)</f>
        <v>6792.591436102899</v>
      </c>
      <c r="O42" s="2">
        <f>$B$3 + $B$4*$E42 + ('Станд.норм.распр.'!I42 * $B$5 + $D$1)</f>
        <v>6809.5198314284207</v>
      </c>
      <c r="P42" s="2">
        <f>$B$3 + $B$4*$E42 + ('Станд.норм.распр.'!J42 * $B$5 + $D$1)</f>
        <v>6783.0494906291424</v>
      </c>
      <c r="Q42" s="2">
        <f>$B$3 + $B$4*$E42 + ('Станд.норм.распр.'!K42 * $B$5 + $D$1)</f>
        <v>6784.8743758320925</v>
      </c>
    </row>
    <row r="43" spans="3:17" x14ac:dyDescent="0.3">
      <c r="C43" s="4" t="s">
        <v>51</v>
      </c>
      <c r="D43" s="4" t="s">
        <v>5</v>
      </c>
      <c r="E43" s="4">
        <v>733</v>
      </c>
      <c r="F43" s="4" t="s">
        <v>269</v>
      </c>
      <c r="G43" s="4" t="s">
        <v>5</v>
      </c>
      <c r="H43" s="2">
        <f>$B$3 + $B$4*$E43 + ('Станд.норм.распр.'!B43 * $B$5 + $D$1)</f>
        <v>8174.6965523273975</v>
      </c>
      <c r="I43" s="2">
        <f>$B$3 + $B$4*$E43 + ('Станд.норм.распр.'!C43 * $B$5 + $D$1)</f>
        <v>8180.8466100704682</v>
      </c>
      <c r="J43" s="2">
        <f>$B$3 + $B$4*$E43 + ('Станд.норм.распр.'!D43 * $B$5 + $D$1)</f>
        <v>8182.1818619795085</v>
      </c>
      <c r="K43" s="2">
        <f>$B$3 + $B$4*$E43 + ('Станд.норм.распр.'!E43 * $B$5 + $D$1)</f>
        <v>8175.6729744705372</v>
      </c>
      <c r="L43" s="2">
        <f>$B$3 + $B$4*$E43 + ('Станд.норм.распр.'!F43 * $B$5 + $D$1)</f>
        <v>8187.2984654404281</v>
      </c>
      <c r="M43" s="2">
        <f>$B$3 + $B$4*$E43 + ('Станд.норм.распр.'!G43 * $B$5 + $D$1)</f>
        <v>8170.5776531856391</v>
      </c>
      <c r="N43" s="2">
        <f>$B$3 + $B$4*$E43 + ('Станд.норм.распр.'!H43 * $B$5 + $D$1)</f>
        <v>8176.7407462615229</v>
      </c>
      <c r="O43" s="2">
        <f>$B$3 + $B$4*$E43 + ('Станд.норм.распр.'!I43 * $B$5 + $D$1)</f>
        <v>8175.9223647389736</v>
      </c>
      <c r="P43" s="2">
        <f>$B$3 + $B$4*$E43 + ('Станд.норм.распр.'!J43 * $B$5 + $D$1)</f>
        <v>8182.5292597153457</v>
      </c>
      <c r="Q43" s="2">
        <f>$B$3 + $B$4*$E43 + ('Станд.норм.распр.'!K43 * $B$5 + $D$1)</f>
        <v>8200.0305886361748</v>
      </c>
    </row>
    <row r="44" spans="3:17" x14ac:dyDescent="0.3">
      <c r="C44" s="4" t="s">
        <v>52</v>
      </c>
      <c r="D44" s="4" t="s">
        <v>5</v>
      </c>
      <c r="E44" s="4">
        <v>526</v>
      </c>
      <c r="F44" s="4" t="s">
        <v>270</v>
      </c>
      <c r="G44" s="4" t="s">
        <v>5</v>
      </c>
      <c r="H44" s="2">
        <f>$B$3 + $B$4*$E44 + ('Станд.норм.распр.'!B44 * $B$5 + $D$1)</f>
        <v>5899.5822861365014</v>
      </c>
      <c r="I44" s="2">
        <f>$B$3 + $B$4*$E44 + ('Станд.норм.распр.'!C44 * $B$5 + $D$1)</f>
        <v>5897.8760899921326</v>
      </c>
      <c r="J44" s="2">
        <f>$B$3 + $B$4*$E44 + ('Станд.норм.распр.'!D44 * $B$5 + $D$1)</f>
        <v>5898.9431557878561</v>
      </c>
      <c r="K44" s="2">
        <f>$B$3 + $B$4*$E44 + ('Станд.норм.распр.'!E44 * $B$5 + $D$1)</f>
        <v>5896.9391728882329</v>
      </c>
      <c r="L44" s="2">
        <f>$B$3 + $B$4*$E44 + ('Станд.норм.распр.'!F44 * $B$5 + $D$1)</f>
        <v>5907.8233145814156</v>
      </c>
      <c r="M44" s="2">
        <f>$B$3 + $B$4*$E44 + ('Станд.норм.распр.'!G44 * $B$5 + $D$1)</f>
        <v>5899.5940015651286</v>
      </c>
      <c r="N44" s="2">
        <f>$B$3 + $B$4*$E44 + ('Станд.норм.распр.'!H44 * $B$5 + $D$1)</f>
        <v>5897.624622665171</v>
      </c>
      <c r="O44" s="2">
        <f>$B$3 + $B$4*$E44 + ('Станд.норм.распр.'!I44 * $B$5 + $D$1)</f>
        <v>5922.7342752623372</v>
      </c>
      <c r="P44" s="2">
        <f>$B$3 + $B$4*$E44 + ('Станд.норм.распр.'!J44 * $B$5 + $D$1)</f>
        <v>5908.896672943607</v>
      </c>
      <c r="Q44" s="2">
        <f>$B$3 + $B$4*$E44 + ('Станд.норм.распр.'!K44 * $B$5 + $D$1)</f>
        <v>5897.1838974488492</v>
      </c>
    </row>
    <row r="45" spans="3:17" x14ac:dyDescent="0.3">
      <c r="C45" s="4" t="s">
        <v>53</v>
      </c>
      <c r="D45" s="4" t="s">
        <v>5</v>
      </c>
      <c r="E45" s="4">
        <v>270</v>
      </c>
      <c r="F45" s="4" t="s">
        <v>271</v>
      </c>
      <c r="G45" s="4" t="s">
        <v>5</v>
      </c>
      <c r="H45" s="2">
        <f>$B$3 + $B$4*$E45 + ('Станд.норм.распр.'!B45 * $B$5 + $D$1)</f>
        <v>3087.0098112802079</v>
      </c>
      <c r="I45" s="2">
        <f>$B$3 + $B$4*$E45 + ('Станд.норм.распр.'!C45 * $B$5 + $D$1)</f>
        <v>3078.007368968596</v>
      </c>
      <c r="J45" s="2">
        <f>$B$3 + $B$4*$E45 + ('Станд.норм.распр.'!D45 * $B$5 + $D$1)</f>
        <v>3075.5756552582025</v>
      </c>
      <c r="K45" s="2">
        <f>$B$3 + $B$4*$E45 + ('Станд.норм.распр.'!E45 * $B$5 + $D$1)</f>
        <v>3085.5264333796949</v>
      </c>
      <c r="L45" s="2">
        <f>$B$3 + $B$4*$E45 + ('Станд.норм.распр.'!F45 * $B$5 + $D$1)</f>
        <v>3081.9086373969039</v>
      </c>
      <c r="M45" s="2">
        <f>$B$3 + $B$4*$E45 + ('Станд.норм.распр.'!G45 * $B$5 + $D$1)</f>
        <v>3095.522538443387</v>
      </c>
      <c r="N45" s="2">
        <f>$B$3 + $B$4*$E45 + ('Станд.норм.распр.'!H45 * $B$5 + $D$1)</f>
        <v>3087.532820755936</v>
      </c>
      <c r="O45" s="2">
        <f>$B$3 + $B$4*$E45 + ('Станд.норм.распр.'!I45 * $B$5 + $D$1)</f>
        <v>3075.5735270406003</v>
      </c>
      <c r="P45" s="2">
        <f>$B$3 + $B$4*$E45 + ('Станд.норм.распр.'!J45 * $B$5 + $D$1)</f>
        <v>3080.7201301842579</v>
      </c>
      <c r="Q45" s="2">
        <f>$B$3 + $B$4*$E45 + ('Станд.норм.распр.'!K45 * $B$5 + $D$1)</f>
        <v>3080.5377173793968</v>
      </c>
    </row>
    <row r="46" spans="3:17" x14ac:dyDescent="0.3">
      <c r="C46" s="4" t="s">
        <v>54</v>
      </c>
      <c r="D46" s="4" t="s">
        <v>5</v>
      </c>
      <c r="E46" s="4">
        <v>728</v>
      </c>
      <c r="F46" s="4" t="s">
        <v>272</v>
      </c>
      <c r="G46" s="4" t="s">
        <v>5</v>
      </c>
      <c r="H46" s="2">
        <f>$B$3 + $B$4*$E46 + ('Станд.норм.распр.'!B46 * $B$5 + $D$1)</f>
        <v>8118.4976495903102</v>
      </c>
      <c r="I46" s="2">
        <f>$B$3 + $B$4*$E46 + ('Станд.норм.распр.'!C46 * $B$5 + $D$1)</f>
        <v>8123.7441152522224</v>
      </c>
      <c r="J46" s="2">
        <f>$B$3 + $B$4*$E46 + ('Станд.норм.распр.'!D46 * $B$5 + $D$1)</f>
        <v>8111.2247319621674</v>
      </c>
      <c r="K46" s="2">
        <f>$B$3 + $B$4*$E46 + ('Станд.норм.распр.'!E46 * $B$5 + $D$1)</f>
        <v>8119.0265628235211</v>
      </c>
      <c r="L46" s="2">
        <f>$B$3 + $B$4*$E46 + ('Станд.норм.распр.'!F46 * $B$5 + $D$1)</f>
        <v>8132.0570559879998</v>
      </c>
      <c r="M46" s="2">
        <f>$B$3 + $B$4*$E46 + ('Станд.норм.распр.'!G46 * $B$5 + $D$1)</f>
        <v>8128.6111545038439</v>
      </c>
      <c r="N46" s="2">
        <f>$B$3 + $B$4*$E46 + ('Станд.норм.распр.'!H46 * $B$5 + $D$1)</f>
        <v>8123.053375626725</v>
      </c>
      <c r="O46" s="2">
        <f>$B$3 + $B$4*$E46 + ('Станд.норм.распр.'!I46 * $B$5 + $D$1)</f>
        <v>8126.0094187170325</v>
      </c>
      <c r="P46" s="2">
        <f>$B$3 + $B$4*$E46 + ('Станд.норм.распр.'!J46 * $B$5 + $D$1)</f>
        <v>8112.6437210484</v>
      </c>
      <c r="Q46" s="2">
        <f>$B$3 + $B$4*$E46 + ('Станд.норм.распр.'!K46 * $B$5 + $D$1)</f>
        <v>8124.4310281787621</v>
      </c>
    </row>
    <row r="47" spans="3:17" x14ac:dyDescent="0.3">
      <c r="C47" s="4" t="s">
        <v>55</v>
      </c>
      <c r="D47" s="4" t="s">
        <v>5</v>
      </c>
      <c r="E47" s="4">
        <v>643</v>
      </c>
      <c r="F47" s="4" t="s">
        <v>273</v>
      </c>
      <c r="G47" s="4" t="s">
        <v>5</v>
      </c>
      <c r="H47" s="2">
        <f>$B$3 + $B$4*$E47 + ('Станд.норм.распр.'!B47 * $B$5 + $D$1)</f>
        <v>7176.72402408981</v>
      </c>
      <c r="I47" s="2">
        <f>$B$3 + $B$4*$E47 + ('Станд.норм.распр.'!C47 * $B$5 + $D$1)</f>
        <v>7182.346549894748</v>
      </c>
      <c r="J47" s="2">
        <f>$B$3 + $B$4*$E47 + ('Станд.норм.распр.'!D47 * $B$5 + $D$1)</f>
        <v>7194.7990785030124</v>
      </c>
      <c r="K47" s="2">
        <f>$B$3 + $B$4*$E47 + ('Станд.норм.распр.'!E47 * $B$5 + $D$1)</f>
        <v>7180.6740982775518</v>
      </c>
      <c r="L47" s="2">
        <f>$B$3 + $B$4*$E47 + ('Станд.норм.распр.'!F47 * $B$5 + $D$1)</f>
        <v>7194.5700700108428</v>
      </c>
      <c r="M47" s="2">
        <f>$B$3 + $B$4*$E47 + ('Станд.норм.распр.'!G47 * $B$5 + $D$1)</f>
        <v>7188.6803301150503</v>
      </c>
      <c r="N47" s="2">
        <f>$B$3 + $B$4*$E47 + ('Станд.норм.распр.'!H47 * $B$5 + $D$1)</f>
        <v>7188.5648640783184</v>
      </c>
      <c r="O47" s="2">
        <f>$B$3 + $B$4*$E47 + ('Станд.норм.распр.'!I47 * $B$5 + $D$1)</f>
        <v>7179.2529195828247</v>
      </c>
      <c r="P47" s="2">
        <f>$B$3 + $B$4*$E47 + ('Станд.норм.распр.'!J47 * $B$5 + $D$1)</f>
        <v>7185.3714940299251</v>
      </c>
      <c r="Q47" s="2">
        <f>$B$3 + $B$4*$E47 + ('Станд.норм.распр.'!K47 * $B$5 + $D$1)</f>
        <v>7179.479820321023</v>
      </c>
    </row>
    <row r="48" spans="3:17" x14ac:dyDescent="0.3">
      <c r="C48" s="4" t="s">
        <v>56</v>
      </c>
      <c r="D48" s="4" t="s">
        <v>5</v>
      </c>
      <c r="E48" s="4">
        <v>847</v>
      </c>
      <c r="F48" s="4" t="s">
        <v>274</v>
      </c>
      <c r="G48" s="4" t="s">
        <v>5</v>
      </c>
      <c r="H48" s="2">
        <f>$B$3 + $B$4*$E48 + ('Станд.норм.распр.'!B48 * $B$5 + $D$1)</f>
        <v>9423.7849535197311</v>
      </c>
      <c r="I48" s="2">
        <f>$B$3 + $B$4*$E48 + ('Станд.норм.распр.'!C48 * $B$5 + $D$1)</f>
        <v>9435.1498094560666</v>
      </c>
      <c r="J48" s="2">
        <f>$B$3 + $B$4*$E48 + ('Станд.норм.распр.'!D48 * $B$5 + $D$1)</f>
        <v>9423.47689402182</v>
      </c>
      <c r="K48" s="2">
        <f>$B$3 + $B$4*$E48 + ('Станд.норм.распр.'!E48 * $B$5 + $D$1)</f>
        <v>9438.8332016073546</v>
      </c>
      <c r="L48" s="2">
        <f>$B$3 + $B$4*$E48 + ('Станд.норм.распр.'!F48 * $B$5 + $D$1)</f>
        <v>9434.3093169804488</v>
      </c>
      <c r="M48" s="2">
        <f>$B$3 + $B$4*$E48 + ('Станд.норм.распр.'!G48 * $B$5 + $D$1)</f>
        <v>9418.6603897064342</v>
      </c>
      <c r="N48" s="2">
        <f>$B$3 + $B$4*$E48 + ('Станд.норм.распр.'!H48 * $B$5 + $D$1)</f>
        <v>9438.5407047006593</v>
      </c>
      <c r="O48" s="2">
        <f>$B$3 + $B$4*$E48 + ('Станд.норм.распр.'!I48 * $B$5 + $D$1)</f>
        <v>9435.4772787077818</v>
      </c>
      <c r="P48" s="2">
        <f>$B$3 + $B$4*$E48 + ('Станд.норм.распр.'!J48 * $B$5 + $D$1)</f>
        <v>9437.231932729861</v>
      </c>
      <c r="Q48" s="2">
        <f>$B$3 + $B$4*$E48 + ('Станд.норм.распр.'!K48 * $B$5 + $D$1)</f>
        <v>9421.8192171460541</v>
      </c>
    </row>
    <row r="49" spans="3:17" x14ac:dyDescent="0.3">
      <c r="C49" s="4" t="s">
        <v>57</v>
      </c>
      <c r="D49" s="4" t="s">
        <v>5</v>
      </c>
      <c r="E49" s="4">
        <v>980</v>
      </c>
      <c r="F49" s="4" t="s">
        <v>275</v>
      </c>
      <c r="G49" s="4" t="s">
        <v>5</v>
      </c>
      <c r="H49" s="2">
        <f>$B$3 + $B$4*$E49 + ('Станд.норм.распр.'!B49 * $B$5 + $D$1)</f>
        <v>10895.421066144758</v>
      </c>
      <c r="I49" s="2">
        <f>$B$3 + $B$4*$E49 + ('Станд.норм.распр.'!C49 * $B$5 + $D$1)</f>
        <v>10893.042230456325</v>
      </c>
      <c r="J49" s="2">
        <f>$B$3 + $B$4*$E49 + ('Станд.норм.распр.'!D49 * $B$5 + $D$1)</f>
        <v>10881.232454259356</v>
      </c>
      <c r="K49" s="2">
        <f>$B$3 + $B$4*$E49 + ('Станд.норм.распр.'!E49 * $B$5 + $D$1)</f>
        <v>10874.451011651894</v>
      </c>
      <c r="L49" s="2">
        <f>$B$3 + $B$4*$E49 + ('Станд.норм.распр.'!F49 * $B$5 + $D$1)</f>
        <v>10911.640468286118</v>
      </c>
      <c r="M49" s="2">
        <f>$B$3 + $B$4*$E49 + ('Станд.норм.распр.'!G49 * $B$5 + $D$1)</f>
        <v>10900.9337329478</v>
      </c>
      <c r="N49" s="2">
        <f>$B$3 + $B$4*$E49 + ('Станд.норм.распр.'!H49 * $B$5 + $D$1)</f>
        <v>10893.744879914942</v>
      </c>
      <c r="O49" s="2">
        <f>$B$3 + $B$4*$E49 + ('Станд.норм.распр.'!I49 * $B$5 + $D$1)</f>
        <v>10885.912281984696</v>
      </c>
      <c r="P49" s="2">
        <f>$B$3 + $B$4*$E49 + ('Станд.норм.распр.'!J49 * $B$5 + $D$1)</f>
        <v>10891.882464413124</v>
      </c>
      <c r="Q49" s="2">
        <f>$B$3 + $B$4*$E49 + ('Станд.норм.распр.'!K49 * $B$5 + $D$1)</f>
        <v>10882.208242029941</v>
      </c>
    </row>
    <row r="50" spans="3:17" x14ac:dyDescent="0.3">
      <c r="C50" s="4" t="s">
        <v>58</v>
      </c>
      <c r="D50" s="4" t="s">
        <v>5</v>
      </c>
      <c r="E50" s="4">
        <v>337</v>
      </c>
      <c r="F50" s="4" t="s">
        <v>276</v>
      </c>
      <c r="G50" s="4" t="s">
        <v>5</v>
      </c>
      <c r="H50" s="2">
        <f>$B$3 + $B$4*$E50 + ('Станд.норм.распр.'!B50 * $B$5 + $D$1)</f>
        <v>3823.3939173843246</v>
      </c>
      <c r="I50" s="2">
        <f>$B$3 + $B$4*$E50 + ('Станд.норм.распр.'!C50 * $B$5 + $D$1)</f>
        <v>3813.9320870251104</v>
      </c>
      <c r="J50" s="2">
        <f>$B$3 + $B$4*$E50 + ('Станд.норм.распр.'!D50 * $B$5 + $D$1)</f>
        <v>3817.9741656968836</v>
      </c>
      <c r="K50" s="2">
        <f>$B$3 + $B$4*$E50 + ('Станд.норм.распр.'!E50 * $B$5 + $D$1)</f>
        <v>3830.0428375187912</v>
      </c>
      <c r="L50" s="2">
        <f>$B$3 + $B$4*$E50 + ('Станд.норм.распр.'!F50 * $B$5 + $D$1)</f>
        <v>3822.2894543033326</v>
      </c>
      <c r="M50" s="2">
        <f>$B$3 + $B$4*$E50 + ('Станд.норм.распр.'!G50 * $B$5 + $D$1)</f>
        <v>3820.6794372236764</v>
      </c>
      <c r="N50" s="2">
        <f>$B$3 + $B$4*$E50 + ('Станд.норм.распр.'!H50 * $B$5 + $D$1)</f>
        <v>3837.6373411047971</v>
      </c>
      <c r="O50" s="2">
        <f>$B$3 + $B$4*$E50 + ('Станд.норм.распр.'!I50 * $B$5 + $D$1)</f>
        <v>3826.7456554714008</v>
      </c>
      <c r="P50" s="2">
        <f>$B$3 + $B$4*$E50 + ('Станд.норм.распр.'!J50 * $B$5 + $D$1)</f>
        <v>3825.0215945773525</v>
      </c>
      <c r="Q50" s="2">
        <f>$B$3 + $B$4*$E50 + ('Станд.норм.распр.'!K50 * $B$5 + $D$1)</f>
        <v>3817.4016444664594</v>
      </c>
    </row>
    <row r="51" spans="3:17" x14ac:dyDescent="0.3">
      <c r="C51" s="4" t="s">
        <v>59</v>
      </c>
      <c r="D51" s="4" t="s">
        <v>5</v>
      </c>
      <c r="E51" s="4">
        <v>972</v>
      </c>
      <c r="F51" s="4" t="s">
        <v>277</v>
      </c>
      <c r="G51" s="4" t="s">
        <v>5</v>
      </c>
      <c r="H51" s="2">
        <f>$B$3 + $B$4*$E51 + ('Станд.норм.распр.'!B51 * $B$5 + $D$1)</f>
        <v>10821.262962733686</v>
      </c>
      <c r="I51" s="2">
        <f>$B$3 + $B$4*$E51 + ('Станд.норм.распр.'!C51 * $B$5 + $D$1)</f>
        <v>10810.804420541404</v>
      </c>
      <c r="J51" s="2">
        <f>$B$3 + $B$4*$E51 + ('Станд.норм.распр.'!D51 * $B$5 + $D$1)</f>
        <v>10819.650469554705</v>
      </c>
      <c r="K51" s="2">
        <f>$B$3 + $B$4*$E51 + ('Станд.норм.распр.'!E51 * $B$5 + $D$1)</f>
        <v>10805.915906846523</v>
      </c>
      <c r="L51" s="2">
        <f>$B$3 + $B$4*$E51 + ('Станд.норм.распр.'!F51 * $B$5 + $D$1)</f>
        <v>10793.95846295252</v>
      </c>
      <c r="M51" s="2">
        <f>$B$3 + $B$4*$E51 + ('Станд.норм.распр.'!G51 * $B$5 + $D$1)</f>
        <v>10793.519681781123</v>
      </c>
      <c r="N51" s="2">
        <f>$B$3 + $B$4*$E51 + ('Станд.норм.распр.'!H51 * $B$5 + $D$1)</f>
        <v>10801.904480556419</v>
      </c>
      <c r="O51" s="2">
        <f>$B$3 + $B$4*$E51 + ('Станд.норм.распр.'!I51 * $B$5 + $D$1)</f>
        <v>10806.674317561788</v>
      </c>
      <c r="P51" s="2">
        <f>$B$3 + $B$4*$E51 + ('Станд.норм.распр.'!J51 * $B$5 + $D$1)</f>
        <v>10802.6700454479</v>
      </c>
      <c r="Q51" s="2">
        <f>$B$3 + $B$4*$E51 + ('Станд.норм.распр.'!K51 * $B$5 + $D$1)</f>
        <v>10805.4899030753</v>
      </c>
    </row>
    <row r="52" spans="3:17" x14ac:dyDescent="0.3">
      <c r="C52" s="4" t="s">
        <v>60</v>
      </c>
      <c r="D52" s="4" t="s">
        <v>5</v>
      </c>
      <c r="E52" s="4">
        <v>174</v>
      </c>
      <c r="F52" s="4" t="s">
        <v>278</v>
      </c>
      <c r="G52" s="4" t="s">
        <v>5</v>
      </c>
      <c r="H52" s="2">
        <f>$B$3 + $B$4*$E52 + ('Станд.норм.распр.'!B52 * $B$5 + $D$1)</f>
        <v>2032.1935095396184</v>
      </c>
      <c r="I52" s="2">
        <f>$B$3 + $B$4*$E52 + ('Станд.норм.распр.'!C52 * $B$5 + $D$1)</f>
        <v>2022.7423816593073</v>
      </c>
      <c r="J52" s="2">
        <f>$B$3 + $B$4*$E52 + ('Станд.норм.распр.'!D52 * $B$5 + $D$1)</f>
        <v>2036.5857413978374</v>
      </c>
      <c r="K52" s="2">
        <f>$B$3 + $B$4*$E52 + ('Станд.норм.распр.'!E52 * $B$5 + $D$1)</f>
        <v>2018.6413677308592</v>
      </c>
      <c r="L52" s="2">
        <f>$B$3 + $B$4*$E52 + ('Станд.норм.распр.'!F52 * $B$5 + $D$1)</f>
        <v>2017.5934661253705</v>
      </c>
      <c r="M52" s="2">
        <f>$B$3 + $B$4*$E52 + ('Станд.норм.распр.'!G52 * $B$5 + $D$1)</f>
        <v>2025.5625462411699</v>
      </c>
      <c r="N52" s="2">
        <f>$B$3 + $B$4*$E52 + ('Станд.норм.распр.'!H52 * $B$5 + $D$1)</f>
        <v>2013.6576141610276</v>
      </c>
      <c r="O52" s="2">
        <f>$B$3 + $B$4*$E52 + ('Станд.норм.распр.'!I52 * $B$5 + $D$1)</f>
        <v>2030.6402176445117</v>
      </c>
      <c r="P52" s="2">
        <f>$B$3 + $B$4*$E52 + ('Станд.норм.распр.'!J52 * $B$5 + $D$1)</f>
        <v>2034.0330743053928</v>
      </c>
      <c r="Q52" s="2">
        <f>$B$3 + $B$4*$E52 + ('Станд.норм.распр.'!K52 * $B$5 + $D$1)</f>
        <v>2031.0214755497582</v>
      </c>
    </row>
    <row r="53" spans="3:17" x14ac:dyDescent="0.3">
      <c r="C53" s="4" t="s">
        <v>61</v>
      </c>
      <c r="D53" s="4" t="s">
        <v>5</v>
      </c>
      <c r="E53" s="4">
        <v>227</v>
      </c>
      <c r="F53" s="4" t="s">
        <v>279</v>
      </c>
      <c r="G53" s="4" t="s">
        <v>5</v>
      </c>
      <c r="H53" s="2">
        <f>$B$3 + $B$4*$E53 + ('Станд.норм.распр.'!B53 * $B$5 + $D$1)</f>
        <v>2597.5903464524308</v>
      </c>
      <c r="I53" s="2">
        <f>$B$3 + $B$4*$E53 + ('Станд.норм.распр.'!C53 * $B$5 + $D$1)</f>
        <v>2626.8096281666076</v>
      </c>
      <c r="J53" s="2">
        <f>$B$3 + $B$4*$E53 + ('Станд.норм.распр.'!D53 * $B$5 + $D$1)</f>
        <v>2600.8887767812994</v>
      </c>
      <c r="K53" s="2">
        <f>$B$3 + $B$4*$E53 + ('Станд.норм.распр.'!E53 * $B$5 + $D$1)</f>
        <v>2615.9487402975501</v>
      </c>
      <c r="L53" s="2">
        <f>$B$3 + $B$4*$E53 + ('Станд.норм.распр.'!F53 * $B$5 + $D$1)</f>
        <v>2603.6059786048427</v>
      </c>
      <c r="M53" s="2">
        <f>$B$3 + $B$4*$E53 + ('Станд.норм.распр.'!G53 * $B$5 + $D$1)</f>
        <v>2623.019640962535</v>
      </c>
      <c r="N53" s="2">
        <f>$B$3 + $B$4*$E53 + ('Станд.норм.распр.'!H53 * $B$5 + $D$1)</f>
        <v>2608.9333881583443</v>
      </c>
      <c r="O53" s="2">
        <f>$B$3 + $B$4*$E53 + ('Станд.норм.распр.'!I53 * $B$5 + $D$1)</f>
        <v>2592.4283546584193</v>
      </c>
      <c r="P53" s="2">
        <f>$B$3 + $B$4*$E53 + ('Станд.норм.распр.'!J53 * $B$5 + $D$1)</f>
        <v>2610.239346379909</v>
      </c>
      <c r="Q53" s="2">
        <f>$B$3 + $B$4*$E53 + ('Станд.норм.распр.'!K53 * $B$5 + $D$1)</f>
        <v>2609.2285044097807</v>
      </c>
    </row>
    <row r="54" spans="3:17" x14ac:dyDescent="0.3">
      <c r="C54" s="4" t="s">
        <v>62</v>
      </c>
      <c r="D54" s="4" t="s">
        <v>5</v>
      </c>
      <c r="E54" s="4">
        <v>271</v>
      </c>
      <c r="F54" s="4" t="s">
        <v>280</v>
      </c>
      <c r="G54" s="4" t="s">
        <v>5</v>
      </c>
      <c r="H54" s="2">
        <f>$B$3 + $B$4*$E54 + ('Станд.норм.распр.'!B54 * $B$5 + $D$1)</f>
        <v>3080.8456749279867</v>
      </c>
      <c r="I54" s="2">
        <f>$B$3 + $B$4*$E54 + ('Станд.норм.распр.'!C54 * $B$5 + $D$1)</f>
        <v>3097.7359567411622</v>
      </c>
      <c r="J54" s="2">
        <f>$B$3 + $B$4*$E54 + ('Станд.норм.распр.'!D54 * $B$5 + $D$1)</f>
        <v>3094.1418781064567</v>
      </c>
      <c r="K54" s="2">
        <f>$B$3 + $B$4*$E54 + ('Станд.норм.распр.'!E54 * $B$5 + $D$1)</f>
        <v>3106.0964856503415</v>
      </c>
      <c r="L54" s="2">
        <f>$B$3 + $B$4*$E54 + ('Станд.норм.распр.'!F54 * $B$5 + $D$1)</f>
        <v>3098.8111772937555</v>
      </c>
      <c r="M54" s="2">
        <f>$B$3 + $B$4*$E54 + ('Станд.норм.распр.'!G54 * $B$5 + $D$1)</f>
        <v>3089.3544423786079</v>
      </c>
      <c r="N54" s="2">
        <f>$B$3 + $B$4*$E54 + ('Станд.норм.распр.'!H54 * $B$5 + $D$1)</f>
        <v>3091.68184273105</v>
      </c>
      <c r="O54" s="2">
        <f>$B$3 + $B$4*$E54 + ('Станд.норм.распр.'!I54 * $B$5 + $D$1)</f>
        <v>3087.5333736428001</v>
      </c>
      <c r="P54" s="2">
        <f>$B$3 + $B$4*$E54 + ('Станд.норм.распр.'!J54 * $B$5 + $D$1)</f>
        <v>3101.9773614086444</v>
      </c>
      <c r="Q54" s="2">
        <f>$B$3 + $B$4*$E54 + ('Станд.норм.распр.'!K54 * $B$5 + $D$1)</f>
        <v>3090.250813890365</v>
      </c>
    </row>
    <row r="55" spans="3:17" x14ac:dyDescent="0.3">
      <c r="C55" s="4" t="s">
        <v>63</v>
      </c>
      <c r="D55" s="4" t="s">
        <v>5</v>
      </c>
      <c r="E55" s="4">
        <v>323</v>
      </c>
      <c r="F55" s="4" t="s">
        <v>281</v>
      </c>
      <c r="G55" s="4" t="s">
        <v>5</v>
      </c>
      <c r="H55" s="2">
        <f>$B$3 + $B$4*$E55 + ('Станд.норм.распр.'!B55 * $B$5 + $D$1)</f>
        <v>3669.1976097741572</v>
      </c>
      <c r="I55" s="2">
        <f>$B$3 + $B$4*$E55 + ('Станд.норм.распр.'!C55 * $B$5 + $D$1)</f>
        <v>3660.7540496830479</v>
      </c>
      <c r="J55" s="2">
        <f>$B$3 + $B$4*$E55 + ('Станд.норм.распр.'!D55 * $B$5 + $D$1)</f>
        <v>3671.8911761041381</v>
      </c>
      <c r="K55" s="2">
        <f>$B$3 + $B$4*$E55 + ('Станд.норм.распр.'!E55 * $B$5 + $D$1)</f>
        <v>3669.5992699193012</v>
      </c>
      <c r="L55" s="2">
        <f>$B$3 + $B$4*$E55 + ('Станд.норм.распр.'!F55 * $B$5 + $D$1)</f>
        <v>3680.1921251522726</v>
      </c>
      <c r="M55" s="2">
        <f>$B$3 + $B$4*$E55 + ('Станд.норм.распр.'!G55 * $B$5 + $D$1)</f>
        <v>3660.8995256343333</v>
      </c>
      <c r="N55" s="2">
        <f>$B$3 + $B$4*$E55 + ('Станд.норм.распр.'!H55 * $B$5 + $D$1)</f>
        <v>3651.9446612643078</v>
      </c>
      <c r="O55" s="2">
        <f>$B$3 + $B$4*$E55 + ('Станд.норм.распр.'!I55 * $B$5 + $D$1)</f>
        <v>3675.4993234850117</v>
      </c>
      <c r="P55" s="2">
        <f>$B$3 + $B$4*$E55 + ('Станд.норм.распр.'!J55 * $B$5 + $D$1)</f>
        <v>3666.1480990502168</v>
      </c>
      <c r="Q55" s="2">
        <f>$B$3 + $B$4*$E55 + ('Станд.норм.распр.'!K55 * $B$5 + $D$1)</f>
        <v>3661.9597054182959</v>
      </c>
    </row>
    <row r="56" spans="3:17" x14ac:dyDescent="0.3">
      <c r="C56" s="4" t="s">
        <v>64</v>
      </c>
      <c r="D56" s="4" t="s">
        <v>5</v>
      </c>
      <c r="E56" s="4">
        <v>383</v>
      </c>
      <c r="F56" s="4" t="s">
        <v>282</v>
      </c>
      <c r="G56" s="4" t="s">
        <v>5</v>
      </c>
      <c r="H56" s="2">
        <f>$B$3 + $B$4*$E56 + ('Станд.норм.распр.'!B56 * $B$5 + $D$1)</f>
        <v>4309.9460193723207</v>
      </c>
      <c r="I56" s="2">
        <f>$B$3 + $B$4*$E56 + ('Станд.норм.распр.'!C56 * $B$5 + $D$1)</f>
        <v>4341.5801732287509</v>
      </c>
      <c r="J56" s="2">
        <f>$B$3 + $B$4*$E56 + ('Станд.норм.распр.'!D56 * $B$5 + $D$1)</f>
        <v>4340.9722806125064</v>
      </c>
      <c r="K56" s="2">
        <f>$B$3 + $B$4*$E56 + ('Станд.норм.распр.'!E56 * $B$5 + $D$1)</f>
        <v>4328.777808620318</v>
      </c>
      <c r="L56" s="2">
        <f>$B$3 + $B$4*$E56 + ('Станд.норм.распр.'!F56 * $B$5 + $D$1)</f>
        <v>4326.1266633969644</v>
      </c>
      <c r="M56" s="2">
        <f>$B$3 + $B$4*$E56 + ('Станд.норм.распр.'!G56 * $B$5 + $D$1)</f>
        <v>4323.5828908443655</v>
      </c>
      <c r="N56" s="2">
        <f>$B$3 + $B$4*$E56 + ('Станд.норм.распр.'!H56 * $B$5 + $D$1)</f>
        <v>4319.7354724604811</v>
      </c>
      <c r="O56" s="2">
        <f>$B$3 + $B$4*$E56 + ('Станд.норм.распр.'!I56 * $B$5 + $D$1)</f>
        <v>4335.7300918494293</v>
      </c>
      <c r="P56" s="2">
        <f>$B$3 + $B$4*$E56 + ('Станд.норм.распр.'!J56 * $B$5 + $D$1)</f>
        <v>4326.1889035300119</v>
      </c>
      <c r="Q56" s="2">
        <f>$B$3 + $B$4*$E56 + ('Станд.норм.распр.'!K56 * $B$5 + $D$1)</f>
        <v>4315.8665979597135</v>
      </c>
    </row>
    <row r="57" spans="3:17" x14ac:dyDescent="0.3">
      <c r="C57" s="4" t="s">
        <v>65</v>
      </c>
      <c r="D57" s="4" t="s">
        <v>5</v>
      </c>
      <c r="E57" s="4">
        <v>294</v>
      </c>
      <c r="F57" s="4" t="s">
        <v>283</v>
      </c>
      <c r="G57" s="4" t="s">
        <v>5</v>
      </c>
      <c r="H57" s="2">
        <f>$B$3 + $B$4*$E57 + ('Станд.норм.распр.'!B57 * $B$5 + $D$1)</f>
        <v>3345.0381963976251</v>
      </c>
      <c r="I57" s="2">
        <f>$B$3 + $B$4*$E57 + ('Станд.норм.распр.'!C57 * $B$5 + $D$1)</f>
        <v>3347.2193124853657</v>
      </c>
      <c r="J57" s="2">
        <f>$B$3 + $B$4*$E57 + ('Станд.норм.распр.'!D57 * $B$5 + $D$1)</f>
        <v>3355.2721604738035</v>
      </c>
      <c r="K57" s="2">
        <f>$B$3 + $B$4*$E57 + ('Станд.норм.распр.'!E57 * $B$5 + $D$1)</f>
        <v>3364.36746674194</v>
      </c>
      <c r="L57" s="2">
        <f>$B$3 + $B$4*$E57 + ('Станд.норм.распр.'!F57 * $B$5 + $D$1)</f>
        <v>3351.3875289773277</v>
      </c>
      <c r="M57" s="2">
        <f>$B$3 + $B$4*$E57 + ('Станд.норм.распр.'!G57 * $B$5 + $D$1)</f>
        <v>3354.028769803379</v>
      </c>
      <c r="N57" s="2">
        <f>$B$3 + $B$4*$E57 + ('Станд.норм.распр.'!H57 * $B$5 + $D$1)</f>
        <v>3347.6097442817409</v>
      </c>
      <c r="O57" s="2">
        <f>$B$3 + $B$4*$E57 + ('Станд.норм.распр.'!I57 * $B$5 + $D$1)</f>
        <v>3347.1183653946791</v>
      </c>
      <c r="P57" s="2">
        <f>$B$3 + $B$4*$E57 + ('Станд.норм.распр.'!J57 * $B$5 + $D$1)</f>
        <v>3342.7500279176747</v>
      </c>
      <c r="Q57" s="2">
        <f>$B$3 + $B$4*$E57 + ('Станд.норм.распр.'!K57 * $B$5 + $D$1)</f>
        <v>3357.3032576842234</v>
      </c>
    </row>
    <row r="58" spans="3:17" x14ac:dyDescent="0.3">
      <c r="C58" s="4" t="s">
        <v>66</v>
      </c>
      <c r="D58" s="4" t="s">
        <v>5</v>
      </c>
      <c r="E58" s="4">
        <v>331</v>
      </c>
      <c r="F58" s="4" t="s">
        <v>284</v>
      </c>
      <c r="G58" s="4" t="s">
        <v>5</v>
      </c>
      <c r="H58" s="2">
        <f>$B$3 + $B$4*$E58 + ('Станд.норм.распр.'!B58 * $B$5 + $D$1)</f>
        <v>3756.6257126844721</v>
      </c>
      <c r="I58" s="2">
        <f>$B$3 + $B$4*$E58 + ('Станд.норм.распр.'!C58 * $B$5 + $D$1)</f>
        <v>3753.8377066983958</v>
      </c>
      <c r="J58" s="2">
        <f>$B$3 + $B$4*$E58 + ('Станд.норм.распр.'!D58 * $B$5 + $D$1)</f>
        <v>3760.6791282077029</v>
      </c>
      <c r="K58" s="2">
        <f>$B$3 + $B$4*$E58 + ('Станд.норм.распр.'!E58 * $B$5 + $D$1)</f>
        <v>3753.3791883551021</v>
      </c>
      <c r="L58" s="2">
        <f>$B$3 + $B$4*$E58 + ('Станд.норм.распр.'!F58 * $B$5 + $D$1)</f>
        <v>3769.8554499901365</v>
      </c>
      <c r="M58" s="2">
        <f>$B$3 + $B$4*$E58 + ('Станд.норм.распр.'!G58 * $B$5 + $D$1)</f>
        <v>3751.1805349357746</v>
      </c>
      <c r="N58" s="2">
        <f>$B$3 + $B$4*$E58 + ('Станд.норм.распр.'!H58 * $B$5 + $D$1)</f>
        <v>3746.6437172942096</v>
      </c>
      <c r="O58" s="2">
        <f>$B$3 + $B$4*$E58 + ('Станд.норм.распр.'!I58 * $B$5 + $D$1)</f>
        <v>3750.0848609842069</v>
      </c>
      <c r="P58" s="2">
        <f>$B$3 + $B$4*$E58 + ('Станд.норм.распр.'!J58 * $B$5 + $D$1)</f>
        <v>3761.873672191432</v>
      </c>
      <c r="Q58" s="2">
        <f>$B$3 + $B$4*$E58 + ('Станд.норм.распр.'!K58 * $B$5 + $D$1)</f>
        <v>3754.3098026607186</v>
      </c>
    </row>
    <row r="59" spans="3:17" x14ac:dyDescent="0.3">
      <c r="C59" s="4" t="s">
        <v>67</v>
      </c>
      <c r="D59" s="4" t="s">
        <v>5</v>
      </c>
      <c r="E59" s="4">
        <v>908</v>
      </c>
      <c r="F59" s="4" t="s">
        <v>285</v>
      </c>
      <c r="G59" s="4" t="s">
        <v>5</v>
      </c>
      <c r="H59" s="2">
        <f>$B$3 + $B$4*$E59 + ('Станд.норм.распр.'!B59 * $B$5 + $D$1)</f>
        <v>10098.581407231133</v>
      </c>
      <c r="I59" s="2">
        <f>$B$3 + $B$4*$E59 + ('Станд.норм.распр.'!C59 * $B$5 + $D$1)</f>
        <v>10091.286511663522</v>
      </c>
      <c r="J59" s="2">
        <f>$B$3 + $B$4*$E59 + ('Станд.норм.распр.'!D59 * $B$5 + $D$1)</f>
        <v>10101.143955164982</v>
      </c>
      <c r="K59" s="2">
        <f>$B$3 + $B$4*$E59 + ('Станд.норм.распр.'!E59 * $B$5 + $D$1)</f>
        <v>10096.226462831648</v>
      </c>
      <c r="L59" s="2">
        <f>$B$3 + $B$4*$E59 + ('Станд.норм.распр.'!F59 * $B$5 + $D$1)</f>
        <v>10097.986017893301</v>
      </c>
      <c r="M59" s="2">
        <f>$B$3 + $B$4*$E59 + ('Станд.норм.распр.'!G59 * $B$5 + $D$1)</f>
        <v>10088.219791026087</v>
      </c>
      <c r="N59" s="2">
        <f>$B$3 + $B$4*$E59 + ('Станд.норм.распр.'!H59 * $B$5 + $D$1)</f>
        <v>10123.681953512598</v>
      </c>
      <c r="O59" s="2">
        <f>$B$3 + $B$4*$E59 + ('Станд.норм.распр.'!I59 * $B$5 + $D$1)</f>
        <v>10094.573134477425</v>
      </c>
      <c r="P59" s="2">
        <f>$B$3 + $B$4*$E59 + ('Станд.норм.распр.'!J59 * $B$5 + $D$1)</f>
        <v>10107.845620307809</v>
      </c>
      <c r="Q59" s="2">
        <f>$B$3 + $B$4*$E59 + ('Станд.норм.распр.'!K59 * $B$5 + $D$1)</f>
        <v>10095.206238286803</v>
      </c>
    </row>
    <row r="60" spans="3:17" x14ac:dyDescent="0.3">
      <c r="C60" s="4" t="s">
        <v>68</v>
      </c>
      <c r="D60" s="4" t="s">
        <v>5</v>
      </c>
      <c r="E60" s="4">
        <v>152</v>
      </c>
      <c r="F60" s="4" t="s">
        <v>286</v>
      </c>
      <c r="G60" s="4" t="s">
        <v>5</v>
      </c>
      <c r="H60" s="2">
        <f>$B$3 + $B$4*$E60 + ('Станд.норм.распр.'!B60 * $B$5 + $D$1)</f>
        <v>1777.7028571871924</v>
      </c>
      <c r="I60" s="2">
        <f>$B$3 + $B$4*$E60 + ('Станд.норм.распр.'!C60 * $B$5 + $D$1)</f>
        <v>1772.6070447751554</v>
      </c>
      <c r="J60" s="2">
        <f>$B$3 + $B$4*$E60 + ('Станд.норм.распр.'!D60 * $B$5 + $D$1)</f>
        <v>1799.0882108351216</v>
      </c>
      <c r="K60" s="2">
        <f>$B$3 + $B$4*$E60 + ('Станд.норм.распр.'!E60 * $B$5 + $D$1)</f>
        <v>1781.6701822156901</v>
      </c>
      <c r="L60" s="2">
        <f>$B$3 + $B$4*$E60 + ('Станд.норм.распр.'!F60 * $B$5 + $D$1)</f>
        <v>1779.1585375634313</v>
      </c>
      <c r="M60" s="2">
        <f>$B$3 + $B$4*$E60 + ('Станд.норм.распр.'!G60 * $B$5 + $D$1)</f>
        <v>1785.1391155163001</v>
      </c>
      <c r="N60" s="2">
        <f>$B$3 + $B$4*$E60 + ('Станд.норм.распр.'!H60 * $B$5 + $D$1)</f>
        <v>1780.2007022127509</v>
      </c>
      <c r="O60" s="2">
        <f>$B$3 + $B$4*$E60 + ('Станд.норм.распр.'!I60 * $B$5 + $D$1)</f>
        <v>1775.1865672907443</v>
      </c>
      <c r="P60" s="2">
        <f>$B$3 + $B$4*$E60 + ('Станд.норм.распр.'!J60 * $B$5 + $D$1)</f>
        <v>1774.4664930505096</v>
      </c>
      <c r="Q60" s="2">
        <f>$B$3 + $B$4*$E60 + ('Станд.норм.распр.'!K60 * $B$5 + $D$1)</f>
        <v>1777.2776229393785</v>
      </c>
    </row>
    <row r="61" spans="3:17" x14ac:dyDescent="0.3">
      <c r="C61" s="4" t="s">
        <v>69</v>
      </c>
      <c r="D61" s="4" t="s">
        <v>5</v>
      </c>
      <c r="E61" s="4">
        <v>593</v>
      </c>
      <c r="F61" s="4" t="s">
        <v>287</v>
      </c>
      <c r="G61" s="4" t="s">
        <v>5</v>
      </c>
      <c r="H61" s="2">
        <f>$B$3 + $B$4*$E61 + ('Станд.норм.распр.'!B61 * $B$5 + $D$1)</f>
        <v>6643.2310630255524</v>
      </c>
      <c r="I61" s="2">
        <f>$B$3 + $B$4*$E61 + ('Станд.норм.распр.'!C61 * $B$5 + $D$1)</f>
        <v>6635.0568964019767</v>
      </c>
      <c r="J61" s="2">
        <f>$B$3 + $B$4*$E61 + ('Станд.норм.распр.'!D61 * $B$5 + $D$1)</f>
        <v>6625.8488355281879</v>
      </c>
      <c r="K61" s="2">
        <f>$B$3 + $B$4*$E61 + ('Станд.норм.распр.'!E61 * $B$5 + $D$1)</f>
        <v>6633.6759492053825</v>
      </c>
      <c r="L61" s="2">
        <f>$B$3 + $B$4*$E61 + ('Станд.норм.распр.'!F61 * $B$5 + $D$1)</f>
        <v>6631.5335400752811</v>
      </c>
      <c r="M61" s="2">
        <f>$B$3 + $B$4*$E61 + ('Станд.норм.распр.'!G61 * $B$5 + $D$1)</f>
        <v>6647.7317009678809</v>
      </c>
      <c r="N61" s="2">
        <f>$B$3 + $B$4*$E61 + ('Станд.норм.распр.'!H61 * $B$5 + $D$1)</f>
        <v>6644.518235634052</v>
      </c>
      <c r="O61" s="2">
        <f>$B$3 + $B$4*$E61 + ('Станд.норм.распр.'!I61 * $B$5 + $D$1)</f>
        <v>6633.3971731631318</v>
      </c>
      <c r="P61" s="2">
        <f>$B$3 + $B$4*$E61 + ('Станд.норм.распр.'!J61 * $B$5 + $D$1)</f>
        <v>6647.3263369055639</v>
      </c>
      <c r="Q61" s="2">
        <f>$B$3 + $B$4*$E61 + ('Станд.норм.распр.'!K61 * $B$5 + $D$1)</f>
        <v>6631.1767188374652</v>
      </c>
    </row>
    <row r="62" spans="3:17" x14ac:dyDescent="0.3">
      <c r="C62" s="4" t="s">
        <v>70</v>
      </c>
      <c r="D62" s="4" t="s">
        <v>5</v>
      </c>
      <c r="E62" s="4">
        <v>392</v>
      </c>
      <c r="F62" s="4" t="s">
        <v>288</v>
      </c>
      <c r="G62" s="4" t="s">
        <v>5</v>
      </c>
      <c r="H62" s="2">
        <f>$B$3 + $B$4*$E62 + ('Станд.норм.распр.'!B62 * $B$5 + $D$1)</f>
        <v>4430.2334545469203</v>
      </c>
      <c r="I62" s="2">
        <f>$B$3 + $B$4*$E62 + ('Станд.норм.распр.'!C62 * $B$5 + $D$1)</f>
        <v>4412.3950006329105</v>
      </c>
      <c r="J62" s="2">
        <f>$B$3 + $B$4*$E62 + ('Станд.норм.распр.'!D62 * $B$5 + $D$1)</f>
        <v>4434.3562827057904</v>
      </c>
      <c r="K62" s="2">
        <f>$B$3 + $B$4*$E62 + ('Станд.норм.распр.'!E62 * $B$5 + $D$1)</f>
        <v>4427.1123211152153</v>
      </c>
      <c r="L62" s="2">
        <f>$B$3 + $B$4*$E62 + ('Станд.норм.распр.'!F62 * $B$5 + $D$1)</f>
        <v>4433.5098117577145</v>
      </c>
      <c r="M62" s="2">
        <f>$B$3 + $B$4*$E62 + ('Станд.норм.распр.'!G62 * $B$5 + $D$1)</f>
        <v>4417.7783884484379</v>
      </c>
      <c r="N62" s="2">
        <f>$B$3 + $B$4*$E62 + ('Станд.норм.распр.'!H62 * $B$5 + $D$1)</f>
        <v>4444.7307705346029</v>
      </c>
      <c r="O62" s="2">
        <f>$B$3 + $B$4*$E62 + ('Станд.норм.распр.'!I62 * $B$5 + $D$1)</f>
        <v>4427.7083550574171</v>
      </c>
      <c r="P62" s="2">
        <f>$B$3 + $B$4*$E62 + ('Станд.норм.распр.'!J62 * $B$5 + $D$1)</f>
        <v>4430.6353602556337</v>
      </c>
      <c r="Q62" s="2">
        <f>$B$3 + $B$4*$E62 + ('Станд.норм.распр.'!K62 * $B$5 + $D$1)</f>
        <v>4433.0763439907751</v>
      </c>
    </row>
    <row r="63" spans="3:17" x14ac:dyDescent="0.3">
      <c r="C63" s="4" t="s">
        <v>71</v>
      </c>
      <c r="D63" s="4" t="s">
        <v>5</v>
      </c>
      <c r="E63" s="4">
        <v>407</v>
      </c>
      <c r="F63" s="4" t="s">
        <v>289</v>
      </c>
      <c r="G63" s="4" t="s">
        <v>5</v>
      </c>
      <c r="H63" s="2">
        <f>$B$3 + $B$4*$E63 + ('Станд.норм.распр.'!B63 * $B$5 + $D$1)</f>
        <v>4606.3447763295844</v>
      </c>
      <c r="I63" s="2">
        <f>$B$3 + $B$4*$E63 + ('Станд.норм.распр.'!C63 * $B$5 + $D$1)</f>
        <v>4595.0489953789802</v>
      </c>
      <c r="J63" s="2">
        <f>$B$3 + $B$4*$E63 + ('Станд.норм.распр.'!D63 * $B$5 + $D$1)</f>
        <v>4589.9036405168008</v>
      </c>
      <c r="K63" s="2">
        <f>$B$3 + $B$4*$E63 + ('Станд.норм.распр.'!E63 * $B$5 + $D$1)</f>
        <v>4596.6740839227132</v>
      </c>
      <c r="L63" s="2">
        <f>$B$3 + $B$4*$E63 + ('Станд.норм.распр.'!F63 * $B$5 + $D$1)</f>
        <v>4596.3608573580277</v>
      </c>
      <c r="M63" s="2">
        <f>$B$3 + $B$4*$E63 + ('Станд.норм.распр.'!G63 * $B$5 + $D$1)</f>
        <v>4600.4001120487519</v>
      </c>
      <c r="N63" s="2">
        <f>$B$3 + $B$4*$E63 + ('Станд.норм.распр.'!H63 * $B$5 + $D$1)</f>
        <v>4577.3625453144778</v>
      </c>
      <c r="O63" s="2">
        <f>$B$3 + $B$4*$E63 + ('Станд.норм.распр.'!I63 * $B$5 + $D$1)</f>
        <v>4584.1300112621102</v>
      </c>
      <c r="P63" s="2">
        <f>$B$3 + $B$4*$E63 + ('Станд.норм.распр.'!J63 * $B$5 + $D$1)</f>
        <v>4584.0681087789708</v>
      </c>
      <c r="Q63" s="2">
        <f>$B$3 + $B$4*$E63 + ('Станд.норм.распр.'!K63 * $B$5 + $D$1)</f>
        <v>4588.9531764893181</v>
      </c>
    </row>
    <row r="64" spans="3:17" x14ac:dyDescent="0.3">
      <c r="C64" s="4" t="s">
        <v>72</v>
      </c>
      <c r="D64" s="4" t="s">
        <v>5</v>
      </c>
      <c r="E64" s="4">
        <v>211</v>
      </c>
      <c r="F64" s="4" t="s">
        <v>290</v>
      </c>
      <c r="G64" s="4" t="s">
        <v>5</v>
      </c>
      <c r="H64" s="2">
        <f>$B$3 + $B$4*$E64 + ('Станд.норм.распр.'!B64 * $B$5 + $D$1)</f>
        <v>2432.9404583427822</v>
      </c>
      <c r="I64" s="2">
        <f>$B$3 + $B$4*$E64 + ('Станд.норм.распр.'!C64 * $B$5 + $D$1)</f>
        <v>2441.9969041760487</v>
      </c>
      <c r="J64" s="2">
        <f>$B$3 + $B$4*$E64 + ('Станд.норм.распр.'!D64 * $B$5 + $D$1)</f>
        <v>2423.276140356902</v>
      </c>
      <c r="K64" s="2">
        <f>$B$3 + $B$4*$E64 + ('Станд.норм.распр.'!E64 * $B$5 + $D$1)</f>
        <v>2428.631718098186</v>
      </c>
      <c r="L64" s="2">
        <f>$B$3 + $B$4*$E64 + ('Станд.норм.распр.'!F64 * $B$5 + $D$1)</f>
        <v>2431.343394741416</v>
      </c>
      <c r="M64" s="2">
        <f>$B$3 + $B$4*$E64 + ('Станд.норм.распр.'!G64 * $B$5 + $D$1)</f>
        <v>2446.9196147352341</v>
      </c>
      <c r="N64" s="2">
        <f>$B$3 + $B$4*$E64 + ('Станд.норм.распр.'!H64 * $B$5 + $D$1)</f>
        <v>2438.9426254261343</v>
      </c>
      <c r="O64" s="2">
        <f>$B$3 + $B$4*$E64 + ('Станд.норм.распр.'!I64 * $B$5 + $D$1)</f>
        <v>2434.1833681178832</v>
      </c>
      <c r="P64" s="2">
        <f>$B$3 + $B$4*$E64 + ('Станд.норм.распр.'!J64 * $B$5 + $D$1)</f>
        <v>2446.2617908598622</v>
      </c>
      <c r="Q64" s="2">
        <f>$B$3 + $B$4*$E64 + ('Станд.норм.распр.'!K64 * $B$5 + $D$1)</f>
        <v>2437.1345306322473</v>
      </c>
    </row>
    <row r="65" spans="3:17" x14ac:dyDescent="0.3">
      <c r="C65" s="4" t="s">
        <v>73</v>
      </c>
      <c r="D65" s="4" t="s">
        <v>5</v>
      </c>
      <c r="E65" s="4">
        <v>942</v>
      </c>
      <c r="F65" s="4" t="s">
        <v>291</v>
      </c>
      <c r="G65" s="4" t="s">
        <v>5</v>
      </c>
      <c r="H65" s="2">
        <f>$B$3 + $B$4*$E65 + ('Станд.норм.распр.'!B65 * $B$5 + $D$1)</f>
        <v>10474.181458522595</v>
      </c>
      <c r="I65" s="2">
        <f>$B$3 + $B$4*$E65 + ('Станд.норм.распр.'!C65 * $B$5 + $D$1)</f>
        <v>10471.67018221569</v>
      </c>
      <c r="J65" s="2">
        <f>$B$3 + $B$4*$E65 + ('Станд.норм.распр.'!D65 * $B$5 + $D$1)</f>
        <v>10476.215860609387</v>
      </c>
      <c r="K65" s="2">
        <f>$B$3 + $B$4*$E65 + ('Станд.норм.распр.'!E65 * $B$5 + $D$1)</f>
        <v>10490.712163647346</v>
      </c>
      <c r="L65" s="2">
        <f>$B$3 + $B$4*$E65 + ('Станд.норм.распр.'!F65 * $B$5 + $D$1)</f>
        <v>10462.270704539493</v>
      </c>
      <c r="M65" s="2">
        <f>$B$3 + $B$4*$E65 + ('Станд.норм.распр.'!G65 * $B$5 + $D$1)</f>
        <v>10482.371822109941</v>
      </c>
      <c r="N65" s="2">
        <f>$B$3 + $B$4*$E65 + ('Станд.норм.распр.'!H65 * $B$5 + $D$1)</f>
        <v>10476.679146978655</v>
      </c>
      <c r="O65" s="2">
        <f>$B$3 + $B$4*$E65 + ('Станд.норм.распр.'!I65 * $B$5 + $D$1)</f>
        <v>10463.496230460238</v>
      </c>
      <c r="P65" s="2">
        <f>$B$3 + $B$4*$E65 + ('Станд.норм.распр.'!J65 * $B$5 + $D$1)</f>
        <v>10494.730770534603</v>
      </c>
      <c r="Q65" s="2">
        <f>$B$3 + $B$4*$E65 + ('Станд.норм.распр.'!K65 * $B$5 + $D$1)</f>
        <v>10481.069312010164</v>
      </c>
    </row>
    <row r="66" spans="3:17" x14ac:dyDescent="0.3">
      <c r="C66" s="4" t="s">
        <v>74</v>
      </c>
      <c r="D66" s="4" t="s">
        <v>5</v>
      </c>
      <c r="E66" s="4">
        <v>785</v>
      </c>
      <c r="F66" s="4" t="s">
        <v>292</v>
      </c>
      <c r="G66" s="4" t="s">
        <v>5</v>
      </c>
      <c r="H66" s="2">
        <f>$B$3 + $B$4*$E66 + ('Станд.норм.распр.'!B66 * $B$5 + $D$1)</f>
        <v>8739.8735071585397</v>
      </c>
      <c r="I66" s="2">
        <f>$B$3 + $B$4*$E66 + ('Станд.норм.распр.'!C66 * $B$5 + $D$1)</f>
        <v>8753.0665327105671</v>
      </c>
      <c r="J66" s="2">
        <f>$B$3 + $B$4*$E66 + ('Станд.норм.распр.'!D66 * $B$5 + $D$1)</f>
        <v>8761.7468774735462</v>
      </c>
      <c r="K66" s="2">
        <f>$B$3 + $B$4*$E66 + ('Станд.норм.распр.'!E66 * $B$5 + $D$1)</f>
        <v>8747.2748136062582</v>
      </c>
      <c r="L66" s="2">
        <f>$B$3 + $B$4*$E66 + ('Станд.норм.распр.'!F66 * $B$5 + $D$1)</f>
        <v>8753.3576349981013</v>
      </c>
      <c r="M66" s="2">
        <f>$B$3 + $B$4*$E66 + ('Станд.норм.распр.'!G66 * $B$5 + $D$1)</f>
        <v>8755.5796988110524</v>
      </c>
      <c r="N66" s="2">
        <f>$B$3 + $B$4*$E66 + ('Станд.норм.распр.'!H66 * $B$5 + $D$1)</f>
        <v>8753.8831952881301</v>
      </c>
      <c r="O66" s="2">
        <f>$B$3 + $B$4*$E66 + ('Станд.норм.распр.'!I66 * $B$5 + $D$1)</f>
        <v>8731.2114568814868</v>
      </c>
      <c r="P66" s="2">
        <f>$B$3 + $B$4*$E66 + ('Станд.норм.распр.'!J66 * $B$5 + $D$1)</f>
        <v>8745.7627661590086</v>
      </c>
      <c r="Q66" s="2">
        <f>$B$3 + $B$4*$E66 + ('Станд.норм.распр.'!K66 * $B$5 + $D$1)</f>
        <v>8743.6842854114948</v>
      </c>
    </row>
    <row r="67" spans="3:17" x14ac:dyDescent="0.3">
      <c r="C67" s="4" t="s">
        <v>75</v>
      </c>
      <c r="D67" s="4" t="s">
        <v>5</v>
      </c>
      <c r="E67" s="4">
        <v>896</v>
      </c>
      <c r="F67" s="4" t="s">
        <v>293</v>
      </c>
      <c r="G67" s="4" t="s">
        <v>5</v>
      </c>
      <c r="H67" s="2">
        <f>$B$3 + $B$4*$E67 + ('Станд.норм.распр.'!B67 * $B$5 + $D$1)</f>
        <v>9970.1821160822146</v>
      </c>
      <c r="I67" s="2">
        <f>$B$3 + $B$4*$E67 + ('Станд.норм.распр.'!C67 * $B$5 + $D$1)</f>
        <v>9972.7136104563397</v>
      </c>
      <c r="J67" s="2">
        <f>$B$3 + $B$4*$E67 + ('Станд.норм.распр.'!D67 * $B$5 + $D$1)</f>
        <v>9960.5055301496759</v>
      </c>
      <c r="K67" s="2">
        <f>$B$3 + $B$4*$E67 + ('Станд.норм.распр.'!E67 * $B$5 + $D$1)</f>
        <v>9981.2422276288271</v>
      </c>
      <c r="L67" s="2">
        <f>$B$3 + $B$4*$E67 + ('Станд.норм.распр.'!F67 * $B$5 + $D$1)</f>
        <v>9969.1474135185854</v>
      </c>
      <c r="M67" s="2">
        <f>$B$3 + $B$4*$E67 + ('Станд.норм.распр.'!G67 * $B$5 + $D$1)</f>
        <v>9960.4790502114338</v>
      </c>
      <c r="N67" s="2">
        <f>$B$3 + $B$4*$E67 + ('Станд.норм.распр.'!H67 * $B$5 + $D$1)</f>
        <v>9955.9931358514586</v>
      </c>
      <c r="O67" s="2">
        <f>$B$3 + $B$4*$E67 + ('Станд.норм.распр.'!I67 * $B$5 + $D$1)</f>
        <v>9978.802001048025</v>
      </c>
      <c r="P67" s="2">
        <f>$B$3 + $B$4*$E67 + ('Станд.норм.распр.'!J67 * $B$5 + $D$1)</f>
        <v>9982.4372627396951</v>
      </c>
      <c r="Q67" s="2">
        <f>$B$3 + $B$4*$E67 + ('Станд.норм.распр.'!K67 * $B$5 + $D$1)</f>
        <v>9970.2578724433988</v>
      </c>
    </row>
    <row r="68" spans="3:17" x14ac:dyDescent="0.3">
      <c r="C68" s="4" t="s">
        <v>76</v>
      </c>
      <c r="D68" s="4" t="s">
        <v>5</v>
      </c>
      <c r="E68" s="4">
        <v>920</v>
      </c>
      <c r="F68" s="4" t="s">
        <v>294</v>
      </c>
      <c r="G68" s="4" t="s">
        <v>5</v>
      </c>
      <c r="H68" s="2">
        <f>$B$3 + $B$4*$E68 + ('Станд.норм.распр.'!B68 * $B$5 + $D$1)</f>
        <v>10238.629855538951</v>
      </c>
      <c r="I68" s="2">
        <f>$B$3 + $B$4*$E68 + ('Станд.норм.распр.'!C68 * $B$5 + $D$1)</f>
        <v>10234.36465166886</v>
      </c>
      <c r="J68" s="2">
        <f>$B$3 + $B$4*$E68 + ('Станд.норм.распр.'!D68 * $B$5 + $D$1)</f>
        <v>10230.430713053996</v>
      </c>
      <c r="K68" s="2">
        <f>$B$3 + $B$4*$E68 + ('Станд.норм.распр.'!E68 * $B$5 + $D$1)</f>
        <v>10225.882343692851</v>
      </c>
      <c r="L68" s="2">
        <f>$B$3 + $B$4*$E68 + ('Станд.норм.распр.'!F68 * $B$5 + $D$1)</f>
        <v>10228.845743458427</v>
      </c>
      <c r="M68" s="2">
        <f>$B$3 + $B$4*$E68 + ('Станд.норм.распр.'!G68 * $B$5 + $D$1)</f>
        <v>10235.993167870751</v>
      </c>
      <c r="N68" s="2">
        <f>$B$3 + $B$4*$E68 + ('Станд.норм.распр.'!H68 * $B$5 + $D$1)</f>
        <v>10231.240960283307</v>
      </c>
      <c r="O68" s="2">
        <f>$B$3 + $B$4*$E68 + ('Станд.норм.распр.'!I68 * $B$5 + $D$1)</f>
        <v>10245.685367553582</v>
      </c>
      <c r="P68" s="2">
        <f>$B$3 + $B$4*$E68 + ('Станд.норм.распр.'!J68 * $B$5 + $D$1)</f>
        <v>10243.319710443378</v>
      </c>
      <c r="Q68" s="2">
        <f>$B$3 + $B$4*$E68 + ('Станд.норм.распр.'!K68 * $B$5 + $D$1)</f>
        <v>10232.788399580008</v>
      </c>
    </row>
    <row r="69" spans="3:17" x14ac:dyDescent="0.3">
      <c r="C69" s="4" t="s">
        <v>77</v>
      </c>
      <c r="D69" s="4" t="s">
        <v>5</v>
      </c>
      <c r="E69" s="4">
        <v>147</v>
      </c>
      <c r="F69" s="4" t="s">
        <v>295</v>
      </c>
      <c r="G69" s="4" t="s">
        <v>5</v>
      </c>
      <c r="H69" s="2">
        <f>$B$3 + $B$4*$E69 + ('Станд.норм.распр.'!B69 * $B$5 + $D$1)</f>
        <v>1720.4524717092281</v>
      </c>
      <c r="I69" s="2">
        <f>$B$3 + $B$4*$E69 + ('Станд.норм.распр.'!C69 * $B$5 + $D$1)</f>
        <v>1737.0494585341075</v>
      </c>
      <c r="J69" s="2">
        <f>$B$3 + $B$4*$E69 + ('Станд.норм.распр.'!D69 * $B$5 + $D$1)</f>
        <v>1741.0647707768076</v>
      </c>
      <c r="K69" s="2">
        <f>$B$3 + $B$4*$E69 + ('Станд.норм.распр.'!E69 * $B$5 + $D$1)</f>
        <v>1732.2908458302263</v>
      </c>
      <c r="L69" s="2">
        <f>$B$3 + $B$4*$E69 + ('Станд.норм.распр.'!F69 * $B$5 + $D$1)</f>
        <v>1733.945821506728</v>
      </c>
      <c r="M69" s="2">
        <f>$B$3 + $B$4*$E69 + ('Станд.норм.распр.'!G69 * $B$5 + $D$1)</f>
        <v>1736.2796781346842</v>
      </c>
      <c r="N69" s="2">
        <f>$B$3 + $B$4*$E69 + ('Станд.норм.распр.'!H69 * $B$5 + $D$1)</f>
        <v>1735.681014615926</v>
      </c>
      <c r="O69" s="2">
        <f>$B$3 + $B$4*$E69 + ('Станд.норм.распр.'!I69 * $B$5 + $D$1)</f>
        <v>1729.9459388416435</v>
      </c>
      <c r="P69" s="2">
        <f>$B$3 + $B$4*$E69 + ('Станд.норм.распр.'!J69 * $B$5 + $D$1)</f>
        <v>1735.7157413973764</v>
      </c>
      <c r="Q69" s="2">
        <f>$B$3 + $B$4*$E69 + ('Станд.норм.распр.'!K69 * $B$5 + $D$1)</f>
        <v>1750.1798244486563</v>
      </c>
    </row>
    <row r="70" spans="3:17" x14ac:dyDescent="0.3">
      <c r="C70" s="4" t="s">
        <v>78</v>
      </c>
      <c r="D70" s="4" t="s">
        <v>5</v>
      </c>
      <c r="E70" s="4">
        <v>712</v>
      </c>
      <c r="F70" s="4" t="s">
        <v>296</v>
      </c>
      <c r="G70" s="4" t="s">
        <v>5</v>
      </c>
      <c r="H70" s="2">
        <f>$B$3 + $B$4*$E70 + ('Станд.норм.распр.'!B70 * $B$5 + $D$1)</f>
        <v>7938.1012226877792</v>
      </c>
      <c r="I70" s="2">
        <f>$B$3 + $B$4*$E70 + ('Станд.норм.распр.'!C70 * $B$5 + $D$1)</f>
        <v>7944.2186818670016</v>
      </c>
      <c r="J70" s="2">
        <f>$B$3 + $B$4*$E70 + ('Станд.норм.распр.'!D70 * $B$5 + $D$1)</f>
        <v>7938.8446050034836</v>
      </c>
      <c r="K70" s="2">
        <f>$B$3 + $B$4*$E70 + ('Станд.норм.распр.'!E70 * $B$5 + $D$1)</f>
        <v>7938.0342247605731</v>
      </c>
      <c r="L70" s="2">
        <f>$B$3 + $B$4*$E70 + ('Станд.норм.распр.'!F70 * $B$5 + $D$1)</f>
        <v>7946.2654542186065</v>
      </c>
      <c r="M70" s="2">
        <f>$B$3 + $B$4*$E70 + ('Станд.норм.распр.'!G70 * $B$5 + $D$1)</f>
        <v>7928.4801034264965</v>
      </c>
      <c r="N70" s="2">
        <f>$B$3 + $B$4*$E70 + ('Станд.норм.распр.'!H70 * $B$5 + $D$1)</f>
        <v>7936.6330799603893</v>
      </c>
      <c r="O70" s="2">
        <f>$B$3 + $B$4*$E70 + ('Станд.норм.распр.'!I70 * $B$5 + $D$1)</f>
        <v>7940.4862793199718</v>
      </c>
      <c r="P70" s="2">
        <f>$B$3 + $B$4*$E70 + ('Станд.норм.распр.'!J70 * $B$5 + $D$1)</f>
        <v>7941.6051283334091</v>
      </c>
      <c r="Q70" s="2">
        <f>$B$3 + $B$4*$E70 + ('Станд.норм.распр.'!K70 * $B$5 + $D$1)</f>
        <v>7942.7130630920874</v>
      </c>
    </row>
    <row r="71" spans="3:17" x14ac:dyDescent="0.3">
      <c r="C71" s="4" t="s">
        <v>79</v>
      </c>
      <c r="D71" s="4" t="s">
        <v>5</v>
      </c>
      <c r="E71" s="4">
        <v>418</v>
      </c>
      <c r="F71" s="4" t="s">
        <v>297</v>
      </c>
      <c r="G71" s="4" t="s">
        <v>5</v>
      </c>
      <c r="H71" s="2">
        <f>$B$3 + $B$4*$E71 + ('Станд.норм.распр.'!B71 * $B$5 + $D$1)</f>
        <v>4721.5949391379545</v>
      </c>
      <c r="I71" s="2">
        <f>$B$3 + $B$4*$E71 + ('Станд.норм.распр.'!C71 * $B$5 + $D$1)</f>
        <v>4708.2939955366892</v>
      </c>
      <c r="J71" s="2">
        <f>$B$3 + $B$4*$E71 + ('Станд.норм.распр.'!D71 * $B$5 + $D$1)</f>
        <v>4700.4099315750063</v>
      </c>
      <c r="K71" s="2">
        <f>$B$3 + $B$4*$E71 + ('Станд.норм.распр.'!E71 * $B$5 + $D$1)</f>
        <v>4701.0709068495198</v>
      </c>
      <c r="L71" s="2">
        <f>$B$3 + $B$4*$E71 + ('Станд.норм.распр.'!F71 * $B$5 + $D$1)</f>
        <v>4713.7609568203625</v>
      </c>
      <c r="M71" s="2">
        <f>$B$3 + $B$4*$E71 + ('Станд.норм.распр.'!G71 * $B$5 + $D$1)</f>
        <v>4705.2856167106365</v>
      </c>
      <c r="N71" s="2">
        <f>$B$3 + $B$4*$E71 + ('Станд.норм.распр.'!H71 * $B$5 + $D$1)</f>
        <v>4708.5510596666718</v>
      </c>
      <c r="O71" s="2">
        <f>$B$3 + $B$4*$E71 + ('Станд.норм.распр.'!I71 * $B$5 + $D$1)</f>
        <v>4718.0503180066007</v>
      </c>
      <c r="P71" s="2">
        <f>$B$3 + $B$4*$E71 + ('Станд.норм.распр.'!J71 * $B$5 + $D$1)</f>
        <v>4702.5474601291644</v>
      </c>
      <c r="Q71" s="2">
        <f>$B$3 + $B$4*$E71 + ('Станд.норм.распр.'!K71 * $B$5 + $D$1)</f>
        <v>4724.5273027151707</v>
      </c>
    </row>
    <row r="72" spans="3:17" x14ac:dyDescent="0.3">
      <c r="C72" s="4" t="s">
        <v>80</v>
      </c>
      <c r="D72" s="4" t="s">
        <v>5</v>
      </c>
      <c r="E72" s="4">
        <v>876</v>
      </c>
      <c r="F72" s="4" t="s">
        <v>298</v>
      </c>
      <c r="G72" s="4" t="s">
        <v>5</v>
      </c>
      <c r="H72" s="2">
        <f>$B$3 + $B$4*$E72 + ('Станд.норм.распр.'!B72 * $B$5 + $D$1)</f>
        <v>9754.0604243167763</v>
      </c>
      <c r="I72" s="2">
        <f>$B$3 + $B$4*$E72 + ('Станд.норм.распр.'!C72 * $B$5 + $D$1)</f>
        <v>9739.7028646955732</v>
      </c>
      <c r="J72" s="2">
        <f>$B$3 + $B$4*$E72 + ('Станд.норм.распр.'!D72 * $B$5 + $D$1)</f>
        <v>9742.6406644590315</v>
      </c>
      <c r="K72" s="2">
        <f>$B$3 + $B$4*$E72 + ('Станд.норм.распр.'!E72 * $B$5 + $D$1)</f>
        <v>9741.4909972176247</v>
      </c>
      <c r="L72" s="2">
        <f>$B$3 + $B$4*$E72 + ('Станд.норм.распр.'!F72 * $B$5 + $D$1)</f>
        <v>9745.8149419398978</v>
      </c>
      <c r="M72" s="2">
        <f>$B$3 + $B$4*$E72 + ('Станд.норм.распр.'!G72 * $B$5 + $D$1)</f>
        <v>9737.2961370783742</v>
      </c>
      <c r="N72" s="2">
        <f>$B$3 + $B$4*$E72 + ('Станд.норм.распр.'!H72 * $B$5 + $D$1)</f>
        <v>9744.233226061624</v>
      </c>
      <c r="O72" s="2">
        <f>$B$3 + $B$4*$E72 + ('Станд.норм.распр.'!I72 * $B$5 + $D$1)</f>
        <v>9732.1380333742127</v>
      </c>
      <c r="P72" s="2">
        <f>$B$3 + $B$4*$E72 + ('Станд.норм.распр.'!J72 * $B$5 + $D$1)</f>
        <v>9753.2673665373295</v>
      </c>
      <c r="Q72" s="2">
        <f>$B$3 + $B$4*$E72 + ('Станд.норм.распр.'!K72 * $B$5 + $D$1)</f>
        <v>9753.7217512272036</v>
      </c>
    </row>
    <row r="73" spans="3:17" x14ac:dyDescent="0.3">
      <c r="C73" s="4" t="s">
        <v>81</v>
      </c>
      <c r="D73" s="4" t="s">
        <v>5</v>
      </c>
      <c r="E73" s="4">
        <v>757</v>
      </c>
      <c r="F73" s="4" t="s">
        <v>299</v>
      </c>
      <c r="G73" s="4" t="s">
        <v>5</v>
      </c>
      <c r="H73" s="2">
        <f>$B$3 + $B$4*$E73 + ('Станд.норм.распр.'!B73 * $B$5 + $D$1)</f>
        <v>8452.0305313683057</v>
      </c>
      <c r="I73" s="2">
        <f>$B$3 + $B$4*$E73 + ('Станд.норм.распр.'!C73 * $B$5 + $D$1)</f>
        <v>8443.1479854694917</v>
      </c>
      <c r="J73" s="2">
        <f>$B$3 + $B$4*$E73 + ('Станд.норм.распр.'!D73 * $B$5 + $D$1)</f>
        <v>8441.193135747395</v>
      </c>
      <c r="K73" s="2">
        <f>$B$3 + $B$4*$E73 + ('Станд.норм.распр.'!E73 * $B$5 + $D$1)</f>
        <v>8431.295143561525</v>
      </c>
      <c r="L73" s="2">
        <f>$B$3 + $B$4*$E73 + ('Станд.норм.распр.'!F73 * $B$5 + $D$1)</f>
        <v>8441.0072236616688</v>
      </c>
      <c r="M73" s="2">
        <f>$B$3 + $B$4*$E73 + ('Станд.норм.распр.'!G73 * $B$5 + $D$1)</f>
        <v>8434.6679182610533</v>
      </c>
      <c r="N73" s="2">
        <f>$B$3 + $B$4*$E73 + ('Станд.норм.распр.'!H73 * $B$5 + $D$1)</f>
        <v>8456.6198893819237</v>
      </c>
      <c r="O73" s="2">
        <f>$B$3 + $B$4*$E73 + ('Станд.норм.распр.'!I73 * $B$5 + $D$1)</f>
        <v>8427.4508663449669</v>
      </c>
      <c r="P73" s="2">
        <f>$B$3 + $B$4*$E73 + ('Станд.норм.распр.'!J73 * $B$5 + $D$1)</f>
        <v>8443.7395685719966</v>
      </c>
      <c r="Q73" s="2">
        <f>$B$3 + $B$4*$E73 + ('Станд.норм.распр.'!K73 * $B$5 + $D$1)</f>
        <v>8434.8091173135035</v>
      </c>
    </row>
    <row r="74" spans="3:17" x14ac:dyDescent="0.3">
      <c r="C74" s="4" t="s">
        <v>82</v>
      </c>
      <c r="D74" s="4" t="s">
        <v>5</v>
      </c>
      <c r="E74" s="4">
        <v>670</v>
      </c>
      <c r="F74" s="4" t="s">
        <v>300</v>
      </c>
      <c r="G74" s="4" t="s">
        <v>5</v>
      </c>
      <c r="H74" s="2">
        <f>$B$3 + $B$4*$E74 + ('Станд.норм.распр.'!B74 * $B$5 + $D$1)</f>
        <v>7481.2705302297982</v>
      </c>
      <c r="I74" s="2">
        <f>$B$3 + $B$4*$E74 + ('Станд.норм.распр.'!C74 * $B$5 + $D$1)</f>
        <v>7493.4824781626812</v>
      </c>
      <c r="J74" s="2">
        <f>$B$3 + $B$4*$E74 + ('Станд.норм.распр.'!D74 * $B$5 + $D$1)</f>
        <v>7483.298752300092</v>
      </c>
      <c r="K74" s="2">
        <f>$B$3 + $B$4*$E74 + ('Станд.норм.распр.'!E74 * $B$5 + $D$1)</f>
        <v>7480.623552078745</v>
      </c>
      <c r="L74" s="2">
        <f>$B$3 + $B$4*$E74 + ('Станд.норм.распр.'!F74 * $B$5 + $D$1)</f>
        <v>7484.8519009497832</v>
      </c>
      <c r="M74" s="2">
        <f>$B$3 + $B$4*$E74 + ('Станд.норм.распр.'!G74 * $B$5 + $D$1)</f>
        <v>7493.2039681476308</v>
      </c>
      <c r="N74" s="2">
        <f>$B$3 + $B$4*$E74 + ('Станд.норм.распр.'!H74 * $B$5 + $D$1)</f>
        <v>7475.003799095779</v>
      </c>
      <c r="O74" s="2">
        <f>$B$3 + $B$4*$E74 + ('Станд.норм.распр.'!I74 * $B$5 + $D$1)</f>
        <v>7492.8655406216276</v>
      </c>
      <c r="P74" s="2">
        <f>$B$3 + $B$4*$E74 + ('Станд.норм.распр.'!J74 * $B$5 + $D$1)</f>
        <v>7482.5140641456383</v>
      </c>
      <c r="Q74" s="2">
        <f>$B$3 + $B$4*$E74 + ('Станд.норм.распр.'!K74 * $B$5 + $D$1)</f>
        <v>7501.1249484992586</v>
      </c>
    </row>
    <row r="75" spans="3:17" x14ac:dyDescent="0.3">
      <c r="C75" s="4" t="s">
        <v>83</v>
      </c>
      <c r="D75" s="4" t="s">
        <v>5</v>
      </c>
      <c r="E75" s="4">
        <v>823</v>
      </c>
      <c r="F75" s="4" t="s">
        <v>301</v>
      </c>
      <c r="G75" s="4" t="s">
        <v>5</v>
      </c>
      <c r="H75" s="2">
        <f>$B$3 + $B$4*$E75 + ('Станд.норм.распр.'!B75 * $B$5 + $D$1)</f>
        <v>9170.4333879739279</v>
      </c>
      <c r="I75" s="2">
        <f>$B$3 + $B$4*$E75 + ('Станд.норм.распр.'!C75 * $B$5 + $D$1)</f>
        <v>9157.9662687969103</v>
      </c>
      <c r="J75" s="2">
        <f>$B$3 + $B$4*$E75 + ('Станд.норм.распр.'!D75 * $B$5 + $D$1)</f>
        <v>9161.3645002531412</v>
      </c>
      <c r="K75" s="2">
        <f>$B$3 + $B$4*$E75 + ('Станд.норм.распр.'!E75 * $B$5 + $D$1)</f>
        <v>9158.5425246399536</v>
      </c>
      <c r="L75" s="2">
        <f>$B$3 + $B$4*$E75 + ('Станд.норм.распр.'!F75 * $B$5 + $D$1)</f>
        <v>9174.1506678978039</v>
      </c>
      <c r="M75" s="2">
        <f>$B$3 + $B$4*$E75 + ('Станд.норм.распр.'!G75 * $B$5 + $D$1)</f>
        <v>9167.9411530754733</v>
      </c>
      <c r="N75" s="2">
        <f>$B$3 + $B$4*$E75 + ('Станд.норм.распр.'!H75 * $B$5 + $D$1)</f>
        <v>9165.7522608080326</v>
      </c>
      <c r="O75" s="2">
        <f>$B$3 + $B$4*$E75 + ('Станд.норм.распр.'!I75 * $B$5 + $D$1)</f>
        <v>9175.9103764366882</v>
      </c>
      <c r="P75" s="2">
        <f>$B$3 + $B$4*$E75 + ('Станд.норм.распр.'!J75 * $B$5 + $D$1)</f>
        <v>9175.7920147961995</v>
      </c>
      <c r="Q75" s="2">
        <f>$B$3 + $B$4*$E75 + ('Станд.норм.распр.'!K75 * $B$5 + $D$1)</f>
        <v>9163.9719280215795</v>
      </c>
    </row>
    <row r="76" spans="3:17" x14ac:dyDescent="0.3">
      <c r="C76" s="4" t="s">
        <v>84</v>
      </c>
      <c r="D76" s="4" t="s">
        <v>5</v>
      </c>
      <c r="E76" s="4">
        <v>634</v>
      </c>
      <c r="F76" s="4" t="s">
        <v>302</v>
      </c>
      <c r="G76" s="4" t="s">
        <v>5</v>
      </c>
      <c r="H76" s="2">
        <f>$B$3 + $B$4*$E76 + ('Станд.норм.распр.'!B76 * $B$5 + $D$1)</f>
        <v>7091.6050676044397</v>
      </c>
      <c r="I76" s="2">
        <f>$B$3 + $B$4*$E76 + ('Станд.норм.распр.'!C76 * $B$5 + $D$1)</f>
        <v>7082.6769185044104</v>
      </c>
      <c r="J76" s="2">
        <f>$B$3 + $B$4*$E76 + ('Станд.норм.распр.'!D76 * $B$5 + $D$1)</f>
        <v>7088.3929017111659</v>
      </c>
      <c r="K76" s="2">
        <f>$B$3 + $B$4*$E76 + ('Станд.норм.распр.'!E76 * $B$5 + $D$1)</f>
        <v>7085.5475361679855</v>
      </c>
      <c r="L76" s="2">
        <f>$B$3 + $B$4*$E76 + ('Станд.норм.распр.'!F76 * $B$5 + $D$1)</f>
        <v>7080.2578922451066</v>
      </c>
      <c r="M76" s="2">
        <f>$B$3 + $B$4*$E76 + ('Станд.норм.распр.'!G76 * $B$5 + $D$1)</f>
        <v>7073.9630133869359</v>
      </c>
      <c r="N76" s="2">
        <f>$B$3 + $B$4*$E76 + ('Станд.норм.распр.'!H76 * $B$5 + $D$1)</f>
        <v>7077.684283718816</v>
      </c>
      <c r="O76" s="2">
        <f>$B$3 + $B$4*$E76 + ('Станд.норм.распр.'!I76 * $B$5 + $D$1)</f>
        <v>7084.4761013870884</v>
      </c>
      <c r="P76" s="2">
        <f>$B$3 + $B$4*$E76 + ('Станд.норм.распр.'!J76 * $B$5 + $D$1)</f>
        <v>7083.8080252326909</v>
      </c>
      <c r="Q76" s="2">
        <f>$B$3 + $B$4*$E76 + ('Станд.норм.распр.'!K76 * $B$5 + $D$1)</f>
        <v>7086.3685708229896</v>
      </c>
    </row>
    <row r="77" spans="3:17" x14ac:dyDescent="0.3">
      <c r="C77" s="4" t="s">
        <v>85</v>
      </c>
      <c r="D77" s="4" t="s">
        <v>5</v>
      </c>
      <c r="E77" s="4">
        <v>407</v>
      </c>
      <c r="F77" s="4" t="s">
        <v>303</v>
      </c>
      <c r="G77" s="4" t="s">
        <v>5</v>
      </c>
      <c r="H77" s="2">
        <f>$B$3 + $B$4*$E77 + ('Станд.норм.распр.'!B77 * $B$5 + $D$1)</f>
        <v>4593.4096129891404</v>
      </c>
      <c r="I77" s="2">
        <f>$B$3 + $B$4*$E77 + ('Станд.норм.распр.'!C77 * $B$5 + $D$1)</f>
        <v>4590.7800057371933</v>
      </c>
      <c r="J77" s="2">
        <f>$B$3 + $B$4*$E77 + ('Станд.норм.распр.'!D77 * $B$5 + $D$1)</f>
        <v>4577.5546445562504</v>
      </c>
      <c r="K77" s="2">
        <f>$B$3 + $B$4*$E77 + ('Станд.норм.распр.'!E77 * $B$5 + $D$1)</f>
        <v>4573.4341011844808</v>
      </c>
      <c r="L77" s="2">
        <f>$B$3 + $B$4*$E77 + ('Станд.норм.распр.'!F77 * $B$5 + $D$1)</f>
        <v>4586.0736673781648</v>
      </c>
      <c r="M77" s="2">
        <f>$B$3 + $B$4*$E77 + ('Станд.норм.распр.'!G77 * $B$5 + $D$1)</f>
        <v>4597.9004386205052</v>
      </c>
      <c r="N77" s="2">
        <f>$B$3 + $B$4*$E77 + ('Станд.норм.распр.'!H77 * $B$5 + $D$1)</f>
        <v>4587.9814507494448</v>
      </c>
      <c r="O77" s="2">
        <f>$B$3 + $B$4*$E77 + ('Станд.норм.распр.'!I77 * $B$5 + $D$1)</f>
        <v>4588.776851614617</v>
      </c>
      <c r="P77" s="2">
        <f>$B$3 + $B$4*$E77 + ('Станд.норм.распр.'!J77 * $B$5 + $D$1)</f>
        <v>4593.7785313250206</v>
      </c>
      <c r="Q77" s="2">
        <f>$B$3 + $B$4*$E77 + ('Станд.норм.распр.'!K77 * $B$5 + $D$1)</f>
        <v>4592.1858980997204</v>
      </c>
    </row>
    <row r="78" spans="3:17" x14ac:dyDescent="0.3">
      <c r="C78" s="4" t="s">
        <v>86</v>
      </c>
      <c r="D78" s="4" t="s">
        <v>5</v>
      </c>
      <c r="E78" s="4">
        <v>923</v>
      </c>
      <c r="F78" s="4" t="s">
        <v>304</v>
      </c>
      <c r="G78" s="4" t="s">
        <v>5</v>
      </c>
      <c r="H78" s="2">
        <f>$B$3 + $B$4*$E78 + ('Станд.норм.распр.'!B78 * $B$5 + $D$1)</f>
        <v>10257.148562574177</v>
      </c>
      <c r="I78" s="2">
        <f>$B$3 + $B$4*$E78 + ('Станд.норм.распр.'!C78 * $B$5 + $D$1)</f>
        <v>10270.381614988029</v>
      </c>
      <c r="J78" s="2">
        <f>$B$3 + $B$4*$E78 + ('Станд.норм.распр.'!D78 * $B$5 + $D$1)</f>
        <v>10263.835381352867</v>
      </c>
      <c r="K78" s="2">
        <f>$B$3 + $B$4*$E78 + ('Станд.норм.распр.'!E78 * $B$5 + $D$1)</f>
        <v>10273.973637027841</v>
      </c>
      <c r="L78" s="2">
        <f>$B$3 + $B$4*$E78 + ('Станд.норм.распр.'!F78 * $B$5 + $D$1)</f>
        <v>10258.557504017692</v>
      </c>
      <c r="M78" s="2">
        <f>$B$3 + $B$4*$E78 + ('Станд.норм.распр.'!G78 * $B$5 + $D$1)</f>
        <v>10253.438015184831</v>
      </c>
      <c r="N78" s="2">
        <f>$B$3 + $B$4*$E78 + ('Станд.норм.распр.'!H78 * $B$5 + $D$1)</f>
        <v>10277.62151764016</v>
      </c>
      <c r="O78" s="2">
        <f>$B$3 + $B$4*$E78 + ('Станд.норм.распр.'!I78 * $B$5 + $D$1)</f>
        <v>10270.201269009878</v>
      </c>
      <c r="P78" s="2">
        <f>$B$3 + $B$4*$E78 + ('Станд.норм.распр.'!J78 * $B$5 + $D$1)</f>
        <v>10266.719402694609</v>
      </c>
      <c r="Q78" s="2">
        <f>$B$3 + $B$4*$E78 + ('Станд.норм.распр.'!K78 * $B$5 + $D$1)</f>
        <v>10258.488848536392</v>
      </c>
    </row>
    <row r="79" spans="3:17" x14ac:dyDescent="0.3">
      <c r="C79" s="4" t="s">
        <v>87</v>
      </c>
      <c r="D79" s="4" t="s">
        <v>5</v>
      </c>
      <c r="E79" s="4">
        <v>235</v>
      </c>
      <c r="F79" s="4" t="s">
        <v>305</v>
      </c>
      <c r="G79" s="4" t="s">
        <v>5</v>
      </c>
      <c r="H79" s="2">
        <f>$B$3 + $B$4*$E79 + ('Станд.норм.распр.'!B79 * $B$5 + $D$1)</f>
        <v>2679.8002030476928</v>
      </c>
      <c r="I79" s="2">
        <f>$B$3 + $B$4*$E79 + ('Станд.норм.распр.'!C79 * $B$5 + $D$1)</f>
        <v>2705.4552523326711</v>
      </c>
      <c r="J79" s="2">
        <f>$B$3 + $B$4*$E79 + ('Станд.норм.распр.'!D79 * $B$5 + $D$1)</f>
        <v>2690.7228501544741</v>
      </c>
      <c r="K79" s="2">
        <f>$B$3 + $B$4*$E79 + ('Станд.норм.распр.'!E79 * $B$5 + $D$1)</f>
        <v>2698.6456824646884</v>
      </c>
      <c r="L79" s="2">
        <f>$B$3 + $B$4*$E79 + ('Станд.норм.распр.'!F79 * $B$5 + $D$1)</f>
        <v>2686.728779160534</v>
      </c>
      <c r="M79" s="2">
        <f>$B$3 + $B$4*$E79 + ('Станд.норм.распр.'!G79 * $B$5 + $D$1)</f>
        <v>2700.9607227841334</v>
      </c>
      <c r="N79" s="2">
        <f>$B$3 + $B$4*$E79 + ('Станд.норм.распр.'!H79 * $B$5 + $D$1)</f>
        <v>2694.3740734781604</v>
      </c>
      <c r="O79" s="2">
        <f>$B$3 + $B$4*$E79 + ('Станд.норм.распр.'!I79 * $B$5 + $D$1)</f>
        <v>2706.4210743150616</v>
      </c>
      <c r="P79" s="2">
        <f>$B$3 + $B$4*$E79 + ('Станд.норм.распр.'!J79 * $B$5 + $D$1)</f>
        <v>2717.612327039591</v>
      </c>
      <c r="Q79" s="2">
        <f>$B$3 + $B$4*$E79 + ('Станд.норм.распр.'!K79 * $B$5 + $D$1)</f>
        <v>2701.9487273423001</v>
      </c>
    </row>
    <row r="80" spans="3:17" x14ac:dyDescent="0.3">
      <c r="C80" s="4" t="s">
        <v>88</v>
      </c>
      <c r="D80" s="4" t="s">
        <v>5</v>
      </c>
      <c r="E80" s="4">
        <v>314</v>
      </c>
      <c r="F80" s="4" t="s">
        <v>306</v>
      </c>
      <c r="G80" s="4" t="s">
        <v>5</v>
      </c>
      <c r="H80" s="2">
        <f>$B$3 + $B$4*$E80 + ('Станд.норм.распр.'!B80 * $B$5 + $D$1)</f>
        <v>3579.4460280201311</v>
      </c>
      <c r="I80" s="2">
        <f>$B$3 + $B$4*$E80 + ('Станд.норм.распр.'!C80 * $B$5 + $D$1)</f>
        <v>3561.6272979539353</v>
      </c>
      <c r="J80" s="2">
        <f>$B$3 + $B$4*$E80 + ('Станд.норм.распр.'!D80 * $B$5 + $D$1)</f>
        <v>3568.2909314389399</v>
      </c>
      <c r="K80" s="2">
        <f>$B$3 + $B$4*$E80 + ('Станд.норм.распр.'!E80 * $B$5 + $D$1)</f>
        <v>3559.4899126451928</v>
      </c>
      <c r="L80" s="2">
        <f>$B$3 + $B$4*$E80 + ('Станд.норм.распр.'!F80 * $B$5 + $D$1)</f>
        <v>3572.6744529299904</v>
      </c>
      <c r="M80" s="2">
        <f>$B$3 + $B$4*$E80 + ('Станд.норм.распр.'!G80 * $B$5 + $D$1)</f>
        <v>3561.2728678686544</v>
      </c>
      <c r="N80" s="2">
        <f>$B$3 + $B$4*$E80 + ('Станд.норм.распр.'!H80 * $B$5 + $D$1)</f>
        <v>3559.8512594376807</v>
      </c>
      <c r="O80" s="2">
        <f>$B$3 + $B$4*$E80 + ('Станд.норм.распр.'!I80 * $B$5 + $D$1)</f>
        <v>3550.4526003067149</v>
      </c>
      <c r="P80" s="2">
        <f>$B$3 + $B$4*$E80 + ('Станд.норм.распр.'!J80 * $B$5 + $D$1)</f>
        <v>3568.8380675353692</v>
      </c>
      <c r="Q80" s="2">
        <f>$B$3 + $B$4*$E80 + ('Станд.норм.распр.'!K80 * $B$5 + $D$1)</f>
        <v>3569.822756985348</v>
      </c>
    </row>
    <row r="81" spans="3:17" x14ac:dyDescent="0.3">
      <c r="C81" s="4" t="s">
        <v>89</v>
      </c>
      <c r="D81" s="4" t="s">
        <v>5</v>
      </c>
      <c r="E81" s="4">
        <v>911</v>
      </c>
      <c r="F81" s="4" t="s">
        <v>307</v>
      </c>
      <c r="G81" s="4" t="s">
        <v>5</v>
      </c>
      <c r="H81" s="2">
        <f>$B$3 + $B$4*$E81 + ('Станд.норм.распр.'!B81 * $B$5 + $D$1)</f>
        <v>10148.643218289857</v>
      </c>
      <c r="I81" s="2">
        <f>$B$3 + $B$4*$E81 + ('Станд.норм.распр.'!C81 * $B$5 + $D$1)</f>
        <v>10122.359226452099</v>
      </c>
      <c r="J81" s="2">
        <f>$B$3 + $B$4*$E81 + ('Станд.норм.распр.'!D81 * $B$5 + $D$1)</f>
        <v>10136.488729139965</v>
      </c>
      <c r="K81" s="2">
        <f>$B$3 + $B$4*$E81 + ('Станд.норм.распр.'!E81 * $B$5 + $D$1)</f>
        <v>10123.123277034902</v>
      </c>
      <c r="L81" s="2">
        <f>$B$3 + $B$4*$E81 + ('Станд.норм.распр.'!F81 * $B$5 + $D$1)</f>
        <v>10131.435174125509</v>
      </c>
      <c r="M81" s="2">
        <f>$B$3 + $B$4*$E81 + ('Станд.норм.распр.'!G81 * $B$5 + $D$1)</f>
        <v>10125.458545653382</v>
      </c>
      <c r="N81" s="2">
        <f>$B$3 + $B$4*$E81 + ('Станд.норм.распр.'!H81 * $B$5 + $D$1)</f>
        <v>10135.629440819466</v>
      </c>
      <c r="O81" s="2">
        <f>$B$3 + $B$4*$E81 + ('Станд.норм.распр.'!I81 * $B$5 + $D$1)</f>
        <v>10144.241211955668</v>
      </c>
      <c r="P81" s="2">
        <f>$B$3 + $B$4*$E81 + ('Станд.норм.распр.'!J81 * $B$5 + $D$1)</f>
        <v>10130.902956015925</v>
      </c>
      <c r="Q81" s="2">
        <f>$B$3 + $B$4*$E81 + ('Станд.норм.распр.'!K81 * $B$5 + $D$1)</f>
        <v>10134.138419752853</v>
      </c>
    </row>
    <row r="82" spans="3:17" x14ac:dyDescent="0.3">
      <c r="C82" s="4" t="s">
        <v>90</v>
      </c>
      <c r="D82" s="4" t="s">
        <v>5</v>
      </c>
      <c r="E82" s="4">
        <v>273</v>
      </c>
      <c r="F82" s="4" t="s">
        <v>308</v>
      </c>
      <c r="G82" s="4" t="s">
        <v>5</v>
      </c>
      <c r="H82" s="2">
        <f>$B$3 + $B$4*$E82 + ('Станд.норм.распр.'!B82 * $B$5 + $D$1)</f>
        <v>3121.4780563257518</v>
      </c>
      <c r="I82" s="2">
        <f>$B$3 + $B$4*$E82 + ('Станд.норм.распр.'!C82 * $B$5 + $D$1)</f>
        <v>3092.2910662209615</v>
      </c>
      <c r="J82" s="2">
        <f>$B$3 + $B$4*$E82 + ('Станд.норм.распр.'!D82 * $B$5 + $D$1)</f>
        <v>3117.7081439434842</v>
      </c>
      <c r="K82" s="2">
        <f>$B$3 + $B$4*$E82 + ('Станд.норм.распр.'!E82 * $B$5 + $D$1)</f>
        <v>3122.6145859161916</v>
      </c>
      <c r="L82" s="2">
        <f>$B$3 + $B$4*$E82 + ('Станд.норм.распр.'!F82 * $B$5 + $D$1)</f>
        <v>3119.079340220007</v>
      </c>
      <c r="M82" s="2">
        <f>$B$3 + $B$4*$E82 + ('Станд.норм.распр.'!G82 * $B$5 + $D$1)</f>
        <v>3100.1884724699194</v>
      </c>
      <c r="N82" s="2">
        <f>$B$3 + $B$4*$E82 + ('Станд.норм.распр.'!H82 * $B$5 + $D$1)</f>
        <v>3115.1786447733612</v>
      </c>
      <c r="O82" s="2">
        <f>$B$3 + $B$4*$E82 + ('Станд.норм.распр.'!I82 * $B$5 + $D$1)</f>
        <v>3117.1958881057362</v>
      </c>
      <c r="P82" s="2">
        <f>$B$3 + $B$4*$E82 + ('Станд.норм.распр.'!J82 * $B$5 + $D$1)</f>
        <v>3114.7306856635551</v>
      </c>
      <c r="Q82" s="2">
        <f>$B$3 + $B$4*$E82 + ('Станд.норм.распр.'!K82 * $B$5 + $D$1)</f>
        <v>3113.8979039294645</v>
      </c>
    </row>
    <row r="83" spans="3:17" x14ac:dyDescent="0.3">
      <c r="C83" s="4" t="s">
        <v>91</v>
      </c>
      <c r="D83" s="4" t="s">
        <v>5</v>
      </c>
      <c r="E83" s="4">
        <v>403</v>
      </c>
      <c r="F83" s="4" t="s">
        <v>309</v>
      </c>
      <c r="G83" s="4" t="s">
        <v>5</v>
      </c>
      <c r="H83" s="2">
        <f>$B$3 + $B$4*$E83 + ('Станд.норм.распр.'!B83 * $B$5 + $D$1)</f>
        <v>4557.2456488093594</v>
      </c>
      <c r="I83" s="2">
        <f>$B$3 + $B$4*$E83 + ('Станд.норм.распр.'!C83 * $B$5 + $D$1)</f>
        <v>4550.3520859687997</v>
      </c>
      <c r="J83" s="2">
        <f>$B$3 + $B$4*$E83 + ('Станд.норм.распр.'!D83 * $B$5 + $D$1)</f>
        <v>4558.3496821541048</v>
      </c>
      <c r="K83" s="2">
        <f>$B$3 + $B$4*$E83 + ('Станд.норм.распр.'!E83 * $B$5 + $D$1)</f>
        <v>4529.259751050151</v>
      </c>
      <c r="L83" s="2">
        <f>$B$3 + $B$4*$E83 + ('Станд.норм.распр.'!F83 * $B$5 + $D$1)</f>
        <v>4557.2561671155854</v>
      </c>
      <c r="M83" s="2">
        <f>$B$3 + $B$4*$E83 + ('Станд.норм.распр.'!G83 * $B$5 + $D$1)</f>
        <v>4546.5402333752281</v>
      </c>
      <c r="N83" s="2">
        <f>$B$3 + $B$4*$E83 + ('Станд.норм.распр.'!H83 * $B$5 + $D$1)</f>
        <v>4555.8565980149724</v>
      </c>
      <c r="O83" s="2">
        <f>$B$3 + $B$4*$E83 + ('Станд.норм.распр.'!I83 * $B$5 + $D$1)</f>
        <v>4550.260746552769</v>
      </c>
      <c r="P83" s="2">
        <f>$B$3 + $B$4*$E83 + ('Станд.норм.распр.'!J83 * $B$5 + $D$1)</f>
        <v>4551.5341952045565</v>
      </c>
      <c r="Q83" s="2">
        <f>$B$3 + $B$4*$E83 + ('Станд.норм.распр.'!K83 * $B$5 + $D$1)</f>
        <v>4543.1984437049832</v>
      </c>
    </row>
    <row r="84" spans="3:17" x14ac:dyDescent="0.3">
      <c r="C84" s="4" t="s">
        <v>92</v>
      </c>
      <c r="D84" s="4" t="s">
        <v>5</v>
      </c>
      <c r="E84" s="4">
        <v>692</v>
      </c>
      <c r="F84" s="4" t="s">
        <v>310</v>
      </c>
      <c r="G84" s="4" t="s">
        <v>5</v>
      </c>
      <c r="H84" s="2">
        <f>$B$3 + $B$4*$E84 + ('Станд.норм.распр.'!B84 * $B$5 + $D$1)</f>
        <v>7725.5740085978468</v>
      </c>
      <c r="I84" s="2">
        <f>$B$3 + $B$4*$E84 + ('Станд.норм.распр.'!C84 * $B$5 + $D$1)</f>
        <v>7732.0356660469552</v>
      </c>
      <c r="J84" s="2">
        <f>$B$3 + $B$4*$E84 + ('Станд.норм.распр.'!D84 * $B$5 + $D$1)</f>
        <v>7728.5748772713996</v>
      </c>
      <c r="K84" s="2">
        <f>$B$3 + $B$4*$E84 + ('Станд.норм.распр.'!E84 * $B$5 + $D$1)</f>
        <v>7732.0296292758721</v>
      </c>
      <c r="L84" s="2">
        <f>$B$3 + $B$4*$E84 + ('Станд.норм.распр.'!F84 * $B$5 + $D$1)</f>
        <v>7716.1146543379582</v>
      </c>
      <c r="M84" s="2">
        <f>$B$3 + $B$4*$E84 + ('Станд.норм.распр.'!G84 * $B$5 + $D$1)</f>
        <v>7719.8422274681216</v>
      </c>
      <c r="N84" s="2">
        <f>$B$3 + $B$4*$E84 + ('Станд.норм.распр.'!H84 * $B$5 + $D$1)</f>
        <v>7717.586316809844</v>
      </c>
      <c r="O84" s="2">
        <f>$B$3 + $B$4*$E84 + ('Станд.норм.распр.'!I84 * $B$5 + $D$1)</f>
        <v>7737.730285223166</v>
      </c>
      <c r="P84" s="2">
        <f>$B$3 + $B$4*$E84 + ('Станд.норм.распр.'!J84 * $B$5 + $D$1)</f>
        <v>7721.8815510581189</v>
      </c>
      <c r="Q84" s="2">
        <f>$B$3 + $B$4*$E84 + ('Станд.норм.распр.'!K84 * $B$5 + $D$1)</f>
        <v>7723.130344127072</v>
      </c>
    </row>
    <row r="85" spans="3:17" x14ac:dyDescent="0.3">
      <c r="C85" s="4" t="s">
        <v>93</v>
      </c>
      <c r="D85" s="4" t="s">
        <v>5</v>
      </c>
      <c r="E85" s="4">
        <v>429</v>
      </c>
      <c r="F85" s="4" t="s">
        <v>311</v>
      </c>
      <c r="G85" s="4" t="s">
        <v>5</v>
      </c>
      <c r="H85" s="2">
        <f>$B$3 + $B$4*$E85 + ('Станд.норм.распр.'!B85 * $B$5 + $D$1)</f>
        <v>4839.5257904680038</v>
      </c>
      <c r="I85" s="2">
        <f>$B$3 + $B$4*$E85 + ('Станд.норм.распр.'!C85 * $B$5 + $D$1)</f>
        <v>4818.8740375202615</v>
      </c>
      <c r="J85" s="2">
        <f>$B$3 + $B$4*$E85 + ('Станд.норм.распр.'!D85 * $B$5 + $D$1)</f>
        <v>4838.7524084695615</v>
      </c>
      <c r="K85" s="2">
        <f>$B$3 + $B$4*$E85 + ('Станд.норм.распр.'!E85 * $B$5 + $D$1)</f>
        <v>4835.2096628526924</v>
      </c>
      <c r="L85" s="2">
        <f>$B$3 + $B$4*$E85 + ('Станд.норм.распр.'!F85 * $B$5 + $D$1)</f>
        <v>4817.7283197595971</v>
      </c>
      <c r="M85" s="2">
        <f>$B$3 + $B$4*$E85 + ('Станд.норм.распр.'!G85 * $B$5 + $D$1)</f>
        <v>4840.3651062848512</v>
      </c>
      <c r="N85" s="2">
        <f>$B$3 + $B$4*$E85 + ('Станд.норм.распр.'!H85 * $B$5 + $D$1)</f>
        <v>4827.7423816593073</v>
      </c>
      <c r="O85" s="2">
        <f>$B$3 + $B$4*$E85 + ('Станд.норм.распр.'!I85 * $B$5 + $D$1)</f>
        <v>4835.5863573682727</v>
      </c>
      <c r="P85" s="2">
        <f>$B$3 + $B$4*$E85 + ('Станд.норм.распр.'!J85 * $B$5 + $D$1)</f>
        <v>4842.9726639746223</v>
      </c>
      <c r="Q85" s="2">
        <f>$B$3 + $B$4*$E85 + ('Станд.норм.распр.'!K85 * $B$5 + $D$1)</f>
        <v>4834.7265881524509</v>
      </c>
    </row>
    <row r="86" spans="3:17" x14ac:dyDescent="0.3">
      <c r="C86" s="4" t="s">
        <v>94</v>
      </c>
      <c r="D86" s="4" t="s">
        <v>5</v>
      </c>
      <c r="E86" s="4">
        <v>902</v>
      </c>
      <c r="F86" s="4" t="s">
        <v>312</v>
      </c>
      <c r="G86" s="4" t="s">
        <v>5</v>
      </c>
      <c r="H86" s="2">
        <f>$B$3 + $B$4*$E86 + ('Станд.норм.распр.'!B86 * $B$5 + $D$1)</f>
        <v>10032.751746493828</v>
      </c>
      <c r="I86" s="2">
        <f>$B$3 + $B$4*$E86 + ('Станд.норм.распр.'!C86 * $B$5 + $D$1)</f>
        <v>10039.175607616868</v>
      </c>
      <c r="J86" s="2">
        <f>$B$3 + $B$4*$E86 + ('Станд.норм.распр.'!D86 * $B$5 + $D$1)</f>
        <v>10048.112668628106</v>
      </c>
      <c r="K86" s="2">
        <f>$B$3 + $B$4*$E86 + ('Станд.норм.распр.'!E86 * $B$5 + $D$1)</f>
        <v>10021.911690600915</v>
      </c>
      <c r="L86" s="2">
        <f>$B$3 + $B$4*$E86 + ('Станд.норм.распр.'!F86 * $B$5 + $D$1)</f>
        <v>10039.697020929394</v>
      </c>
      <c r="M86" s="2">
        <f>$B$3 + $B$4*$E86 + ('Станд.норм.распр.'!G86 * $B$5 + $D$1)</f>
        <v>10036.948765546127</v>
      </c>
      <c r="N86" s="2">
        <f>$B$3 + $B$4*$E86 + ('Станд.норм.распр.'!H86 * $B$5 + $D$1)</f>
        <v>10034.864084318484</v>
      </c>
      <c r="O86" s="2">
        <f>$B$3 + $B$4*$E86 + ('Станд.норм.распр.'!I86 * $B$5 + $D$1)</f>
        <v>10022.161715241906</v>
      </c>
      <c r="P86" s="2">
        <f>$B$3 + $B$4*$E86 + ('Станд.норм.распр.'!J86 * $B$5 + $D$1)</f>
        <v>10037.323546712229</v>
      </c>
      <c r="Q86" s="2">
        <f>$B$3 + $B$4*$E86 + ('Станд.норм.распр.'!K86 * $B$5 + $D$1)</f>
        <v>10033.737786543439</v>
      </c>
    </row>
    <row r="87" spans="3:17" x14ac:dyDescent="0.3">
      <c r="C87" s="4" t="s">
        <v>95</v>
      </c>
      <c r="D87" s="4" t="s">
        <v>5</v>
      </c>
      <c r="E87" s="4">
        <v>283</v>
      </c>
      <c r="F87" s="4" t="s">
        <v>313</v>
      </c>
      <c r="G87" s="4" t="s">
        <v>5</v>
      </c>
      <c r="H87" s="2">
        <f>$B$3 + $B$4*$E87 + ('Станд.норм.распр.'!B87 * $B$5 + $D$1)</f>
        <v>3224.7427592057211</v>
      </c>
      <c r="I87" s="2">
        <f>$B$3 + $B$4*$E87 + ('Станд.норм.распр.'!C87 * $B$5 + $D$1)</f>
        <v>3233.6129655351688</v>
      </c>
      <c r="J87" s="2">
        <f>$B$3 + $B$4*$E87 + ('Станд.норм.распр.'!D87 * $B$5 + $D$1)</f>
        <v>3216.4236998443375</v>
      </c>
      <c r="K87" s="2">
        <f>$B$3 + $B$4*$E87 + ('Станд.норм.распр.'!E87 * $B$5 + $D$1)</f>
        <v>3241.2019644044922</v>
      </c>
      <c r="L87" s="2">
        <f>$B$3 + $B$4*$E87 + ('Станд.норм.распр.'!F87 * $B$5 + $D$1)</f>
        <v>3227.7912610272178</v>
      </c>
      <c r="M87" s="2">
        <f>$B$3 + $B$4*$E87 + ('Станд.норм.распр.'!G87 * $B$5 + $D$1)</f>
        <v>3235.6915997599135</v>
      </c>
      <c r="N87" s="2">
        <f>$B$3 + $B$4*$E87 + ('Станд.норм.распр.'!H87 * $B$5 + $D$1)</f>
        <v>3226.5609118741413</v>
      </c>
      <c r="O87" s="2">
        <f>$B$3 + $B$4*$E87 + ('Станд.норм.распр.'!I87 * $B$5 + $D$1)</f>
        <v>3221.9250400277379</v>
      </c>
      <c r="P87" s="2">
        <f>$B$3 + $B$4*$E87 + ('Станд.норм.распр.'!J87 * $B$5 + $D$1)</f>
        <v>3230.5283596844238</v>
      </c>
      <c r="Q87" s="2">
        <f>$B$3 + $B$4*$E87 + ('Станд.норм.распр.'!K87 * $B$5 + $D$1)</f>
        <v>3225.8995744388085</v>
      </c>
    </row>
    <row r="88" spans="3:17" x14ac:dyDescent="0.3">
      <c r="C88" s="4" t="s">
        <v>96</v>
      </c>
      <c r="D88" s="4" t="s">
        <v>5</v>
      </c>
      <c r="E88" s="4">
        <v>677</v>
      </c>
      <c r="F88" s="4" t="s">
        <v>314</v>
      </c>
      <c r="G88" s="4" t="s">
        <v>5</v>
      </c>
      <c r="H88" s="2">
        <f>$B$3 + $B$4*$E88 + ('Станд.норм.распр.'!B88 * $B$5 + $D$1)</f>
        <v>7569.2163933257107</v>
      </c>
      <c r="I88" s="2">
        <f>$B$3 + $B$4*$E88 + ('Станд.норм.распр.'!C88 * $B$5 + $D$1)</f>
        <v>7548.6480501370679</v>
      </c>
      <c r="J88" s="2">
        <f>$B$3 + $B$4*$E88 + ('Станд.норм.распр.'!D88 * $B$5 + $D$1)</f>
        <v>7565.3576687858149</v>
      </c>
      <c r="K88" s="2">
        <f>$B$3 + $B$4*$E88 + ('Станд.норм.распр.'!E88 * $B$5 + $D$1)</f>
        <v>7559.0246999711962</v>
      </c>
      <c r="L88" s="2">
        <f>$B$3 + $B$4*$E88 + ('Станд.норм.распр.'!F88 * $B$5 + $D$1)</f>
        <v>7559.8876788847847</v>
      </c>
      <c r="M88" s="2">
        <f>$B$3 + $B$4*$E88 + ('Станд.норм.распр.'!G88 * $B$5 + $D$1)</f>
        <v>7567.0210140873096</v>
      </c>
      <c r="N88" s="2">
        <f>$B$3 + $B$4*$E88 + ('Станд.норм.распр.'!H88 * $B$5 + $D$1)</f>
        <v>7555.833567598107</v>
      </c>
      <c r="O88" s="2">
        <f>$B$3 + $B$4*$E88 + ('Станд.норм.распр.'!I88 * $B$5 + $D$1)</f>
        <v>7560.8330372363853</v>
      </c>
      <c r="P88" s="2">
        <f>$B$3 + $B$4*$E88 + ('Станд.норм.распр.'!J88 * $B$5 + $D$1)</f>
        <v>7577.3818731380161</v>
      </c>
      <c r="Q88" s="2">
        <f>$B$3 + $B$4*$E88 + ('Станд.норм.распр.'!K88 * $B$5 + $D$1)</f>
        <v>7555.5955141811282</v>
      </c>
    </row>
    <row r="89" spans="3:17" x14ac:dyDescent="0.3">
      <c r="C89" s="4" t="s">
        <v>97</v>
      </c>
      <c r="D89" s="4" t="s">
        <v>5</v>
      </c>
      <c r="E89" s="4">
        <v>316</v>
      </c>
      <c r="F89" s="4" t="s">
        <v>315</v>
      </c>
      <c r="G89" s="4" t="s">
        <v>5</v>
      </c>
      <c r="H89" s="2">
        <f>$B$3 + $B$4*$E89 + ('Станд.норм.распр.'!B89 * $B$5 + $D$1)</f>
        <v>3587.8165715219802</v>
      </c>
      <c r="I89" s="2">
        <f>$B$3 + $B$4*$E89 + ('Станд.норм.распр.'!C89 * $B$5 + $D$1)</f>
        <v>3591.2762450296577</v>
      </c>
      <c r="J89" s="2">
        <f>$B$3 + $B$4*$E89 + ('Станд.норм.распр.'!D89 * $B$5 + $D$1)</f>
        <v>3597.4559443419275</v>
      </c>
      <c r="K89" s="2">
        <f>$B$3 + $B$4*$E89 + ('Станд.норм.распр.'!E89 * $B$5 + $D$1)</f>
        <v>3596.3241418502002</v>
      </c>
      <c r="L89" s="2">
        <f>$B$3 + $B$4*$E89 + ('Станд.норм.распр.'!F89 * $B$5 + $D$1)</f>
        <v>3588.5538352120784</v>
      </c>
      <c r="M89" s="2">
        <f>$B$3 + $B$4*$E89 + ('Станд.норм.распр.'!G89 * $B$5 + $D$1)</f>
        <v>3604.3130409924197</v>
      </c>
      <c r="N89" s="2">
        <f>$B$3 + $B$4*$E89 + ('Станд.норм.распр.'!H89 * $B$5 + $D$1)</f>
        <v>3580.0464081292739</v>
      </c>
      <c r="O89" s="2">
        <f>$B$3 + $B$4*$E89 + ('Станд.норм.распр.'!I89 * $B$5 + $D$1)</f>
        <v>3605.4249119077576</v>
      </c>
      <c r="P89" s="2">
        <f>$B$3 + $B$4*$E89 + ('Станд.норм.распр.'!J89 * $B$5 + $D$1)</f>
        <v>3588.0421011969156</v>
      </c>
      <c r="Q89" s="2">
        <f>$B$3 + $B$4*$E89 + ('Станд.норм.распр.'!K89 * $B$5 + $D$1)</f>
        <v>3591.2741577393172</v>
      </c>
    </row>
    <row r="90" spans="3:17" x14ac:dyDescent="0.3">
      <c r="C90" s="4" t="s">
        <v>98</v>
      </c>
      <c r="D90" s="4" t="s">
        <v>5</v>
      </c>
      <c r="E90" s="4">
        <v>305</v>
      </c>
      <c r="F90" s="4" t="s">
        <v>316</v>
      </c>
      <c r="G90" s="4" t="s">
        <v>5</v>
      </c>
      <c r="H90" s="2">
        <f>$B$3 + $B$4*$E90 + ('Станд.норм.распр.'!B90 * $B$5 + $D$1)</f>
        <v>3461.8483805433643</v>
      </c>
      <c r="I90" s="2">
        <f>$B$3 + $B$4*$E90 + ('Станд.норм.распр.'!C90 * $B$5 + $D$1)</f>
        <v>3474.8651835388446</v>
      </c>
      <c r="J90" s="2">
        <f>$B$3 + $B$4*$E90 + ('Станд.норм.распр.'!D90 * $B$5 + $D$1)</f>
        <v>3466.1643751450756</v>
      </c>
      <c r="K90" s="2">
        <f>$B$3 + $B$4*$E90 + ('Станд.норм.распр.'!E90 * $B$5 + $D$1)</f>
        <v>3466.5769690535963</v>
      </c>
      <c r="L90" s="2">
        <f>$B$3 + $B$4*$E90 + ('Станд.норм.распр.'!F90 * $B$5 + $D$1)</f>
        <v>3473.6904790451663</v>
      </c>
      <c r="M90" s="2">
        <f>$B$3 + $B$4*$E90 + ('Станд.норм.распр.'!G90 * $B$5 + $D$1)</f>
        <v>3458.0723393036751</v>
      </c>
      <c r="N90" s="2">
        <f>$B$3 + $B$4*$E90 + ('Станд.норм.распр.'!H90 * $B$5 + $D$1)</f>
        <v>3468.4457630236866</v>
      </c>
      <c r="O90" s="2">
        <f>$B$3 + $B$4*$E90 + ('Станд.норм.распр.'!I90 * $B$5 + $D$1)</f>
        <v>3472.6095491395827</v>
      </c>
      <c r="P90" s="2">
        <f>$B$3 + $B$4*$E90 + ('Станд.норм.распр.'!J90 * $B$5 + $D$1)</f>
        <v>3479.8475251181517</v>
      </c>
      <c r="Q90" s="2">
        <f>$B$3 + $B$4*$E90 + ('Станд.норм.распр.'!K90 * $B$5 + $D$1)</f>
        <v>3482.7469760375097</v>
      </c>
    </row>
    <row r="91" spans="3:17" x14ac:dyDescent="0.3">
      <c r="C91" s="4" t="s">
        <v>99</v>
      </c>
      <c r="D91" s="4" t="s">
        <v>5</v>
      </c>
      <c r="E91" s="4">
        <v>970</v>
      </c>
      <c r="F91" s="4" t="s">
        <v>317</v>
      </c>
      <c r="G91" s="4" t="s">
        <v>5</v>
      </c>
      <c r="H91" s="2">
        <f>$B$3 + $B$4*$E91 + ('Станд.норм.распр.'!B91 * $B$5 + $D$1)</f>
        <v>10780.386716247798</v>
      </c>
      <c r="I91" s="2">
        <f>$B$3 + $B$4*$E91 + ('Станд.норм.распр.'!C91 * $B$5 + $D$1)</f>
        <v>10779.269258761255</v>
      </c>
      <c r="J91" s="2">
        <f>$B$3 + $B$4*$E91 + ('Станд.норм.распр.'!D91 * $B$5 + $D$1)</f>
        <v>10781.621767988676</v>
      </c>
      <c r="K91" s="2">
        <f>$B$3 + $B$4*$E91 + ('Станд.норм.распр.'!E91 * $B$5 + $D$1)</f>
        <v>10776.420107446378</v>
      </c>
      <c r="L91" s="2">
        <f>$B$3 + $B$4*$E91 + ('Станд.норм.распр.'!F91 * $B$5 + $D$1)</f>
        <v>10785.374378371111</v>
      </c>
      <c r="M91" s="2">
        <f>$B$3 + $B$4*$E91 + ('Станд.норм.распр.'!G91 * $B$5 + $D$1)</f>
        <v>10772.224490152788</v>
      </c>
      <c r="N91" s="2">
        <f>$B$3 + $B$4*$E91 + ('Станд.норм.распр.'!H91 * $B$5 + $D$1)</f>
        <v>10777.991038991226</v>
      </c>
      <c r="O91" s="2">
        <f>$B$3 + $B$4*$E91 + ('Станд.норм.распр.'!I91 * $B$5 + $D$1)</f>
        <v>10790.539235073433</v>
      </c>
      <c r="P91" s="2">
        <f>$B$3 + $B$4*$E91 + ('Станд.норм.распр.'!J91 * $B$5 + $D$1)</f>
        <v>10785.801679445634</v>
      </c>
      <c r="Q91" s="2">
        <f>$B$3 + $B$4*$E91 + ('Станд.норм.распр.'!K91 * $B$5 + $D$1)</f>
        <v>10782.871021489322</v>
      </c>
    </row>
    <row r="92" spans="3:17" x14ac:dyDescent="0.3">
      <c r="C92" s="4" t="s">
        <v>100</v>
      </c>
      <c r="D92" s="4" t="s">
        <v>5</v>
      </c>
      <c r="E92" s="4">
        <v>362</v>
      </c>
      <c r="F92" s="4" t="s">
        <v>318</v>
      </c>
      <c r="G92" s="4" t="s">
        <v>5</v>
      </c>
      <c r="H92" s="2">
        <f>$B$3 + $B$4*$E92 + ('Станд.норм.распр.'!B92 * $B$5 + $D$1)</f>
        <v>4078.8581894689705</v>
      </c>
      <c r="I92" s="2">
        <f>$B$3 + $B$4*$E92 + ('Станд.норм.распр.'!C92 * $B$5 + $D$1)</f>
        <v>4078.9294029041193</v>
      </c>
      <c r="J92" s="2">
        <f>$B$3 + $B$4*$E92 + ('Станд.норм.распр.'!D92 * $B$5 + $D$1)</f>
        <v>4083.1927548156236</v>
      </c>
      <c r="K92" s="2">
        <f>$B$3 + $B$4*$E92 + ('Станд.норм.распр.'!E92 * $B$5 + $D$1)</f>
        <v>4100.6597529035353</v>
      </c>
      <c r="L92" s="2">
        <f>$B$3 + $B$4*$E92 + ('Станд.норм.распр.'!F92 * $B$5 + $D$1)</f>
        <v>4098.4460280201311</v>
      </c>
      <c r="M92" s="2">
        <f>$B$3 + $B$4*$E92 + ('Станд.норм.распр.'!G92 * $B$5 + $D$1)</f>
        <v>4108.4623511510435</v>
      </c>
      <c r="N92" s="2">
        <f>$B$3 + $B$4*$E92 + ('Станд.норм.распр.'!H92 * $B$5 + $D$1)</f>
        <v>4106.4691863725602</v>
      </c>
      <c r="O92" s="2">
        <f>$B$3 + $B$4*$E92 + ('Станд.норм.распр.'!I92 * $B$5 + $D$1)</f>
        <v>4105.9726639746223</v>
      </c>
      <c r="P92" s="2">
        <f>$B$3 + $B$4*$E92 + ('Станд.норм.распр.'!J92 * $B$5 + $D$1)</f>
        <v>4099.0912912734784</v>
      </c>
      <c r="Q92" s="2">
        <f>$B$3 + $B$4*$E92 + ('Станд.норм.распр.'!K92 * $B$5 + $D$1)</f>
        <v>4094.640948888351</v>
      </c>
    </row>
    <row r="93" spans="3:17" x14ac:dyDescent="0.3">
      <c r="C93" s="4" t="s">
        <v>101</v>
      </c>
      <c r="D93" s="4" t="s">
        <v>5</v>
      </c>
      <c r="E93" s="4">
        <v>836</v>
      </c>
      <c r="F93" s="4" t="s">
        <v>319</v>
      </c>
      <c r="G93" s="4" t="s">
        <v>5</v>
      </c>
      <c r="H93" s="2">
        <f>$B$3 + $B$4*$E93 + ('Станд.норм.распр.'!B93 * $B$5 + $D$1)</f>
        <v>9331.8094828596804</v>
      </c>
      <c r="I93" s="2">
        <f>$B$3 + $B$4*$E93 + ('Станд.норм.распр.'!C93 * $B$5 + $D$1)</f>
        <v>9321.4402337203501</v>
      </c>
      <c r="J93" s="2">
        <f>$B$3 + $B$4*$E93 + ('Станд.норм.распр.'!D93 * $B$5 + $D$1)</f>
        <v>9295.0896225325559</v>
      </c>
      <c r="K93" s="2">
        <f>$B$3 + $B$4*$E93 + ('Станд.норм.распр.'!E93 * $B$5 + $D$1)</f>
        <v>9317.9433880273427</v>
      </c>
      <c r="L93" s="2">
        <f>$B$3 + $B$4*$E93 + ('Станд.норм.распр.'!F93 * $B$5 + $D$1)</f>
        <v>9305.9837361984683</v>
      </c>
      <c r="M93" s="2">
        <f>$B$3 + $B$4*$E93 + ('Станд.норм.распр.'!G93 * $B$5 + $D$1)</f>
        <v>9323.901517377235</v>
      </c>
      <c r="N93" s="2">
        <f>$B$3 + $B$4*$E93 + ('Станд.норм.распр.'!H93 * $B$5 + $D$1)</f>
        <v>9296.7795531827142</v>
      </c>
      <c r="O93" s="2">
        <f>$B$3 + $B$4*$E93 + ('Станд.норм.распр.'!I93 * $B$5 + $D$1)</f>
        <v>9321.5232679945475</v>
      </c>
      <c r="P93" s="2">
        <f>$B$3 + $B$4*$E93 + ('Станд.норм.распр.'!J93 * $B$5 + $D$1)</f>
        <v>9305.892253537022</v>
      </c>
      <c r="Q93" s="2">
        <f>$B$3 + $B$4*$E93 + ('Станд.норм.распр.'!K93 * $B$5 + $D$1)</f>
        <v>9321.4680642582243</v>
      </c>
    </row>
    <row r="94" spans="3:17" x14ac:dyDescent="0.3">
      <c r="C94" s="4" t="s">
        <v>102</v>
      </c>
      <c r="D94" s="4" t="s">
        <v>5</v>
      </c>
      <c r="E94" s="4">
        <v>66</v>
      </c>
      <c r="F94" s="4" t="s">
        <v>320</v>
      </c>
      <c r="G94" s="4" t="s">
        <v>5</v>
      </c>
      <c r="H94" s="2">
        <f>$B$3 + $B$4*$E94 + ('Станд.норм.распр.'!B94 * $B$5 + $D$1)</f>
        <v>847.99739154899726</v>
      </c>
      <c r="I94" s="2">
        <f>$B$3 + $B$4*$E94 + ('Станд.норм.распр.'!C94 * $B$5 + $D$1)</f>
        <v>849.20165575735155</v>
      </c>
      <c r="J94" s="2">
        <f>$B$3 + $B$4*$E94 + ('Станд.норм.распр.'!D94 * $B$5 + $D$1)</f>
        <v>824.14106162273674</v>
      </c>
      <c r="K94" s="2">
        <f>$B$3 + $B$4*$E94 + ('Станд.норм.распр.'!E94 * $B$5 + $D$1)</f>
        <v>846.52489006824908</v>
      </c>
      <c r="L94" s="2">
        <f>$B$3 + $B$4*$E94 + ('Станд.норм.распр.'!F94 * $B$5 + $D$1)</f>
        <v>848.24672042654129</v>
      </c>
      <c r="M94" s="2">
        <f>$B$3 + $B$4*$E94 + ('Станд.норм.распр.'!G94 * $B$5 + $D$1)</f>
        <v>840.42392457544338</v>
      </c>
      <c r="N94" s="2">
        <f>$B$3 + $B$4*$E94 + ('Станд.норм.распр.'!H94 * $B$5 + $D$1)</f>
        <v>842.34259459830355</v>
      </c>
      <c r="O94" s="2">
        <f>$B$3 + $B$4*$E94 + ('Станд.норм.распр.'!I94 * $B$5 + $D$1)</f>
        <v>845.61625370210095</v>
      </c>
      <c r="P94" s="2">
        <f>$B$3 + $B$4*$E94 + ('Станд.норм.распр.'!J94 * $B$5 + $D$1)</f>
        <v>811.36532329022884</v>
      </c>
      <c r="Q94" s="2">
        <f>$B$3 + $B$4*$E94 + ('Станд.норм.распр.'!K94 * $B$5 + $D$1)</f>
        <v>844.21346157963853</v>
      </c>
    </row>
    <row r="95" spans="3:17" x14ac:dyDescent="0.3">
      <c r="C95" s="4" t="s">
        <v>103</v>
      </c>
      <c r="D95" s="4" t="s">
        <v>5</v>
      </c>
      <c r="E95" s="4">
        <v>590</v>
      </c>
      <c r="F95" s="4" t="s">
        <v>321</v>
      </c>
      <c r="G95" s="4" t="s">
        <v>5</v>
      </c>
      <c r="H95" s="2">
        <f>$B$3 + $B$4*$E95 + ('Станд.норм.распр.'!B95 * $B$5 + $D$1)</f>
        <v>6602.2965459821571</v>
      </c>
      <c r="I95" s="2">
        <f>$B$3 + $B$4*$E95 + ('Станд.норм.распр.'!C95 * $B$5 + $D$1)</f>
        <v>6607.4341348964517</v>
      </c>
      <c r="J95" s="2">
        <f>$B$3 + $B$4*$E95 + ('Станд.норм.распр.'!D95 * $B$5 + $D$1)</f>
        <v>6611.5808748078998</v>
      </c>
      <c r="K95" s="2">
        <f>$B$3 + $B$4*$E95 + ('Станд.норм.распр.'!E95 * $B$5 + $D$1)</f>
        <v>6595.283127656061</v>
      </c>
      <c r="L95" s="2">
        <f>$B$3 + $B$4*$E95 + ('Станд.норм.распр.'!F95 * $B$5 + $D$1)</f>
        <v>6595.6849310466205</v>
      </c>
      <c r="M95" s="2">
        <f>$B$3 + $B$4*$E95 + ('Станд.норм.распр.'!G95 * $B$5 + $D$1)</f>
        <v>6586.6685325388098</v>
      </c>
      <c r="N95" s="2">
        <f>$B$3 + $B$4*$E95 + ('Станд.норм.распр.'!H95 * $B$5 + $D$1)</f>
        <v>6596.7488147477561</v>
      </c>
      <c r="O95" s="2">
        <f>$B$3 + $B$4*$E95 + ('Станд.норм.распр.'!I95 * $B$5 + $D$1)</f>
        <v>6600.0831280532148</v>
      </c>
      <c r="P95" s="2">
        <f>$B$3 + $B$4*$E95 + ('Станд.норм.распр.'!J95 * $B$5 + $D$1)</f>
        <v>6599.347327512718</v>
      </c>
      <c r="Q95" s="2">
        <f>$B$3 + $B$4*$E95 + ('Станд.норм.распр.'!K95 * $B$5 + $D$1)</f>
        <v>6596.6109236639459</v>
      </c>
    </row>
    <row r="96" spans="3:17" x14ac:dyDescent="0.3">
      <c r="C96" s="4" t="s">
        <v>104</v>
      </c>
      <c r="D96" s="4" t="s">
        <v>5</v>
      </c>
      <c r="E96" s="4">
        <v>852</v>
      </c>
      <c r="F96" s="4" t="s">
        <v>322</v>
      </c>
      <c r="G96" s="4" t="s">
        <v>5</v>
      </c>
      <c r="H96" s="2">
        <f>$B$3 + $B$4*$E96 + ('Станд.норм.распр.'!B96 * $B$5 + $D$1)</f>
        <v>9479.5278242446657</v>
      </c>
      <c r="I96" s="2">
        <f>$B$3 + $B$4*$E96 + ('Станд.норм.распр.'!C96 * $B$5 + $D$1)</f>
        <v>9495.4262850325322</v>
      </c>
      <c r="J96" s="2">
        <f>$B$3 + $B$4*$E96 + ('Станд.норм.распр.'!D96 * $B$5 + $D$1)</f>
        <v>9468.5489502200217</v>
      </c>
      <c r="K96" s="2">
        <f>$B$3 + $B$4*$E96 + ('Станд.норм.распр.'!E96 * $B$5 + $D$1)</f>
        <v>9479.1235652184114</v>
      </c>
      <c r="L96" s="2">
        <f>$B$3 + $B$4*$E96 + ('Станд.норм.распр.'!F96 * $B$5 + $D$1)</f>
        <v>9490.8449589939992</v>
      </c>
      <c r="M96" s="2">
        <f>$B$3 + $B$4*$E96 + ('Станд.норм.распр.'!G96 * $B$5 + $D$1)</f>
        <v>9490.7726916818647</v>
      </c>
      <c r="N96" s="2">
        <f>$B$3 + $B$4*$E96 + ('Станд.норм.распр.'!H96 * $B$5 + $D$1)</f>
        <v>9479.0588489860384</v>
      </c>
      <c r="O96" s="2">
        <f>$B$3 + $B$4*$E96 + ('Станд.норм.распр.'!I96 * $B$5 + $D$1)</f>
        <v>9468.2162862983532</v>
      </c>
      <c r="P96" s="2">
        <f>$B$3 + $B$4*$E96 + ('Станд.норм.распр.'!J96 * $B$5 + $D$1)</f>
        <v>9493.8030893746472</v>
      </c>
      <c r="Q96" s="2">
        <f>$B$3 + $B$4*$E96 + ('Станд.норм.распр.'!K96 * $B$5 + $D$1)</f>
        <v>9495.806437901716</v>
      </c>
    </row>
    <row r="97" spans="3:22" x14ac:dyDescent="0.3">
      <c r="C97" s="4" t="s">
        <v>105</v>
      </c>
      <c r="D97" s="4" t="s">
        <v>5</v>
      </c>
      <c r="E97" s="4">
        <v>963</v>
      </c>
      <c r="F97" s="4" t="s">
        <v>323</v>
      </c>
      <c r="G97" s="4" t="s">
        <v>5</v>
      </c>
      <c r="H97" s="2">
        <f>$B$3 + $B$4*$E97 + ('Станд.норм.распр.'!B97 * $B$5 + $D$1)</f>
        <v>10713.210957508301</v>
      </c>
      <c r="I97" s="2">
        <f>$B$3 + $B$4*$E97 + ('Станд.норм.распр.'!C97 * $B$5 + $D$1)</f>
        <v>10701.067388797703</v>
      </c>
      <c r="J97" s="2">
        <f>$B$3 + $B$4*$E97 + ('Станд.норм.распр.'!D97 * $B$5 + $D$1)</f>
        <v>10709.504666554159</v>
      </c>
      <c r="K97" s="2">
        <f>$B$3 + $B$4*$E97 + ('Станд.норм.распр.'!E97 * $B$5 + $D$1)</f>
        <v>10709.979259079439</v>
      </c>
      <c r="L97" s="2">
        <f>$B$3 + $B$4*$E97 + ('Станд.норм.распр.'!F97 * $B$5 + $D$1)</f>
        <v>10707.219994262807</v>
      </c>
      <c r="M97" s="2">
        <f>$B$3 + $B$4*$E97 + ('Станд.норм.распр.'!G97 * $B$5 + $D$1)</f>
        <v>10712.879661557628</v>
      </c>
      <c r="N97" s="2">
        <f>$B$3 + $B$4*$E97 + ('Станд.норм.распр.'!H97 * $B$5 + $D$1)</f>
        <v>10717.104756711371</v>
      </c>
      <c r="O97" s="2">
        <f>$B$3 + $B$4*$E97 + ('Станд.норм.распр.'!I97 * $B$5 + $D$1)</f>
        <v>10715.140432328219</v>
      </c>
      <c r="P97" s="2">
        <f>$B$3 + $B$4*$E97 + ('Станд.норм.распр.'!J97 * $B$5 + $D$1)</f>
        <v>10703.444853422872</v>
      </c>
      <c r="Q97" s="2">
        <f>$B$3 + $B$4*$E97 + ('Станд.норм.распр.'!K97 * $B$5 + $D$1)</f>
        <v>10700.949681993399</v>
      </c>
    </row>
    <row r="98" spans="3:22" x14ac:dyDescent="0.3">
      <c r="C98" s="4" t="s">
        <v>106</v>
      </c>
      <c r="D98" s="4" t="s">
        <v>5</v>
      </c>
      <c r="E98" s="4">
        <v>802</v>
      </c>
      <c r="F98" s="4" t="s">
        <v>324</v>
      </c>
      <c r="G98" s="4" t="s">
        <v>5</v>
      </c>
      <c r="H98" s="2">
        <f>$B$3 + $B$4*$E98 + ('Станд.норм.распр.'!B98 * $B$5 + $D$1)</f>
        <v>8927.028723798081</v>
      </c>
      <c r="I98" s="2">
        <f>$B$3 + $B$4*$E98 + ('Станд.норм.распр.'!C98 * $B$5 + $D$1)</f>
        <v>8953.7067704498768</v>
      </c>
      <c r="J98" s="2">
        <f>$B$3 + $B$4*$E98 + ('Станд.норм.распр.'!D98 * $B$5 + $D$1)</f>
        <v>8936.3191814812453</v>
      </c>
      <c r="K98" s="2">
        <f>$B$3 + $B$4*$E98 + ('Станд.норм.распр.'!E98 * $B$5 + $D$1)</f>
        <v>8935.0502143646008</v>
      </c>
      <c r="L98" s="2">
        <f>$B$3 + $B$4*$E98 + ('Станд.норм.распр.'!F98 * $B$5 + $D$1)</f>
        <v>8937.6536117527867</v>
      </c>
      <c r="M98" s="2">
        <f>$B$3 + $B$4*$E98 + ('Станд.норм.распр.'!G98 * $B$5 + $D$1)</f>
        <v>8948.9509817270446</v>
      </c>
      <c r="N98" s="2">
        <f>$B$3 + $B$4*$E98 + ('Станд.норм.распр.'!H98 * $B$5 + $D$1)</f>
        <v>8945.454934115638</v>
      </c>
      <c r="O98" s="2">
        <f>$B$3 + $B$4*$E98 + ('Станд.норм.распр.'!I98 * $B$5 + $D$1)</f>
        <v>8932.2572428557905</v>
      </c>
      <c r="P98" s="2">
        <f>$B$3 + $B$4*$E98 + ('Станд.норм.распр.'!J98 * $B$5 + $D$1)</f>
        <v>8929.1124943941541</v>
      </c>
      <c r="Q98" s="2">
        <f>$B$3 + $B$4*$E98 + ('Станд.норм.распр.'!K98 * $B$5 + $D$1)</f>
        <v>8932.3314235174039</v>
      </c>
    </row>
    <row r="99" spans="3:22" x14ac:dyDescent="0.3">
      <c r="C99" s="4" t="s">
        <v>107</v>
      </c>
      <c r="D99" s="4" t="s">
        <v>5</v>
      </c>
      <c r="E99" s="4">
        <v>686</v>
      </c>
      <c r="F99" s="4" t="s">
        <v>325</v>
      </c>
      <c r="G99" s="4" t="s">
        <v>5</v>
      </c>
      <c r="H99" s="2">
        <f>$B$3 + $B$4*$E99 + ('Станд.норм.распр.'!B99 * $B$5 + $D$1)</f>
        <v>7648.8990942054079</v>
      </c>
      <c r="I99" s="2">
        <f>$B$3 + $B$4*$E99 + ('Станд.норм.распр.'!C99 * $B$5 + $D$1)</f>
        <v>7662.7590397166932</v>
      </c>
      <c r="J99" s="2">
        <f>$B$3 + $B$4*$E99 + ('Станд.норм.распр.'!D99 * $B$5 + $D$1)</f>
        <v>7641.2148780620191</v>
      </c>
      <c r="K99" s="2">
        <f>$B$3 + $B$4*$E99 + ('Станд.норм.распр.'!E99 * $B$5 + $D$1)</f>
        <v>7661.8776097476803</v>
      </c>
      <c r="L99" s="2">
        <f>$B$3 + $B$4*$E99 + ('Станд.норм.распр.'!F99 * $B$5 + $D$1)</f>
        <v>7646.7937140152208</v>
      </c>
      <c r="M99" s="2">
        <f>$B$3 + $B$4*$E99 + ('Станд.норм.распр.'!G99 * $B$5 + $D$1)</f>
        <v>7658.961184246582</v>
      </c>
      <c r="N99" s="2">
        <f>$B$3 + $B$4*$E99 + ('Станд.норм.распр.'!H99 * $B$5 + $D$1)</f>
        <v>7664.8203105507127</v>
      </c>
      <c r="O99" s="2">
        <f>$B$3 + $B$4*$E99 + ('Станд.норм.распр.'!I99 * $B$5 + $D$1)</f>
        <v>7644.0267446415965</v>
      </c>
      <c r="P99" s="2">
        <f>$B$3 + $B$4*$E99 + ('Станд.норм.распр.'!J99 * $B$5 + $D$1)</f>
        <v>7663.6670724057331</v>
      </c>
      <c r="Q99" s="2">
        <f>$B$3 + $B$4*$E99 + ('Станд.норм.распр.'!K99 * $B$5 + $D$1)</f>
        <v>7651.7511718194874</v>
      </c>
    </row>
    <row r="100" spans="3:22" x14ac:dyDescent="0.3">
      <c r="C100" s="4" t="s">
        <v>108</v>
      </c>
      <c r="D100" s="4" t="s">
        <v>5</v>
      </c>
      <c r="E100" s="4">
        <v>256</v>
      </c>
      <c r="F100" s="4" t="s">
        <v>326</v>
      </c>
      <c r="G100" s="4" t="s">
        <v>5</v>
      </c>
      <c r="H100" s="2">
        <f>$B$3 + $B$4*$E100 + ('Станд.норм.распр.'!B100 * $B$5 + $D$1)</f>
        <v>2920.006954249111</v>
      </c>
      <c r="I100" s="2">
        <f>$B$3 + $B$4*$E100 + ('Станд.норм.распр.'!C100 * $B$5 + $D$1)</f>
        <v>2955.6754719885066</v>
      </c>
      <c r="J100" s="2">
        <f>$B$3 + $B$4*$E100 + ('Станд.норм.распр.'!D100 * $B$5 + $D$1)</f>
        <v>2937.3468527261866</v>
      </c>
      <c r="K100" s="2">
        <f>$B$3 + $B$4*$E100 + ('Станд.норм.распр.'!E100 * $B$5 + $D$1)</f>
        <v>2928.2818326316192</v>
      </c>
      <c r="L100" s="2">
        <f>$B$3 + $B$4*$E100 + ('Станд.норм.распр.'!F100 * $B$5 + $D$1)</f>
        <v>2917.9466759011848</v>
      </c>
      <c r="M100" s="2">
        <f>$B$3 + $B$4*$E100 + ('Станд.норм.распр.'!G100 * $B$5 + $D$1)</f>
        <v>2921.5767193670035</v>
      </c>
      <c r="N100" s="2">
        <f>$B$3 + $B$4*$E100 + ('Станд.норм.распр.'!H100 * $B$5 + $D$1)</f>
        <v>2929.0546928074764</v>
      </c>
      <c r="O100" s="2">
        <f>$B$3 + $B$4*$E100 + ('Станд.норм.распр.'!I100 * $B$5 + $D$1)</f>
        <v>2936.0434217630245</v>
      </c>
      <c r="P100" s="2">
        <f>$B$3 + $B$4*$E100 + ('Станд.норм.распр.'!J100 * $B$5 + $D$1)</f>
        <v>2912.7557076059747</v>
      </c>
      <c r="Q100" s="2">
        <f>$B$3 + $B$4*$E100 + ('Станд.норм.распр.'!K100 * $B$5 + $D$1)</f>
        <v>2921.9513879831356</v>
      </c>
    </row>
    <row r="101" spans="3:22" x14ac:dyDescent="0.3">
      <c r="C101" s="4" t="s">
        <v>109</v>
      </c>
      <c r="D101" s="4" t="s">
        <v>5</v>
      </c>
      <c r="E101" s="4">
        <v>240</v>
      </c>
      <c r="F101" s="4" t="s">
        <v>327</v>
      </c>
      <c r="G101" s="4" t="s">
        <v>5</v>
      </c>
      <c r="H101" s="2">
        <f>$B$3 + $B$4*$E101 + ('Станд.норм.распр.'!B101 * $B$5 + $D$1)</f>
        <v>2763.6913299785228</v>
      </c>
      <c r="I101" s="2">
        <f>$B$3 + $B$4*$E101 + ('Станд.норм.распр.'!C101 * $B$5 + $D$1)</f>
        <v>2747.4266520540405</v>
      </c>
      <c r="J101" s="2">
        <f>$B$3 + $B$4*$E101 + ('Станд.норм.распр.'!D101 * $B$5 + $D$1)</f>
        <v>2739.8878576105926</v>
      </c>
      <c r="K101" s="2">
        <f>$B$3 + $B$4*$E101 + ('Станд.норм.распр.'!E101 * $B$5 + $D$1)</f>
        <v>2756.7381156542106</v>
      </c>
      <c r="L101" s="2">
        <f>$B$3 + $B$4*$E101 + ('Станд.норм.распр.'!F101 * $B$5 + $D$1)</f>
        <v>2748.2230761007522</v>
      </c>
      <c r="M101" s="2">
        <f>$B$3 + $B$4*$E101 + ('Станд.норм.распр.'!G101 * $B$5 + $D$1)</f>
        <v>2760.1352972807363</v>
      </c>
      <c r="N101" s="2">
        <f>$B$3 + $B$4*$E101 + ('Станд.норм.распр.'!H101 * $B$5 + $D$1)</f>
        <v>2757.0768910619372</v>
      </c>
      <c r="O101" s="2">
        <f>$B$3 + $B$4*$E101 + ('Станд.норм.распр.'!I101 * $B$5 + $D$1)</f>
        <v>2764.8703216028516</v>
      </c>
      <c r="P101" s="2">
        <f>$B$3 + $B$4*$E101 + ('Станд.норм.распр.'!J101 * $B$5 + $D$1)</f>
        <v>2761.1176805249706</v>
      </c>
      <c r="Q101" s="2">
        <f>$B$3 + $B$4*$E101 + ('Станд.норм.распр.'!K101 * $B$5 + $D$1)</f>
        <v>2755.1289785106783</v>
      </c>
    </row>
    <row r="102" spans="3:22" x14ac:dyDescent="0.3">
      <c r="C102" s="4" t="s">
        <v>110</v>
      </c>
      <c r="D102" s="4" t="s">
        <v>5</v>
      </c>
      <c r="E102" s="4">
        <v>629</v>
      </c>
      <c r="F102" s="4" t="s">
        <v>328</v>
      </c>
      <c r="G102" s="4" t="s">
        <v>5</v>
      </c>
      <c r="H102" s="2">
        <f>$B$3 + $B$4*$E102 + ('Станд.норм.распр.'!B102 * $B$5 + $D$1)</f>
        <v>7047.9481000360001</v>
      </c>
      <c r="I102" s="2">
        <f>$B$3 + $B$4*$E102 + ('Станд.норм.распр.'!C102 * $B$5 + $D$1)</f>
        <v>7030.9407755290003</v>
      </c>
      <c r="J102" s="2">
        <f>$B$3 + $B$4*$E102 + ('Станд.норм.распр.'!D102 * $B$5 + $D$1)</f>
        <v>7016.693479177</v>
      </c>
      <c r="K102" s="2">
        <f>$B$3 + $B$4*$E102 + ('Станд.норм.распр.'!E102 * $B$5 + $D$1)</f>
        <v>7046.0841854560003</v>
      </c>
      <c r="L102" s="2">
        <f>$B$3 + $B$4*$E102 + ('Станд.норм.распр.'!F102 * $B$5 + $D$1)</f>
        <v>7022.9596190080001</v>
      </c>
      <c r="M102" s="2">
        <f>$B$3 + $B$4*$E102 + ('Станд.норм.распр.'!G102 * $B$5 + $D$1)</f>
        <v>7024.590296032</v>
      </c>
      <c r="N102" s="2">
        <f>$B$3 + $B$4*$E102 + ('Станд.норм.распр.'!H102 * $B$5 + $D$1)</f>
        <v>7041.6557277430002</v>
      </c>
      <c r="O102" s="2">
        <f>$B$3 + $B$4*$E102 + ('Станд.норм.распр.'!I102 * $B$5 + $D$1)</f>
        <v>7034.1423790990002</v>
      </c>
      <c r="P102" s="2">
        <f>$B$3 + $B$4*$E102 + ('Станд.норм.распр.'!J102 * $B$5 + $D$1)</f>
        <v>7017.5003080269998</v>
      </c>
      <c r="Q102" s="2">
        <f>$B$3 + $B$4*$E102 + ('Станд.норм.распр.'!K102 * $B$5 + $D$1)</f>
        <v>7035.9044243079998</v>
      </c>
    </row>
    <row r="104" spans="3:22" x14ac:dyDescent="0.3">
      <c r="C104" s="8" t="s">
        <v>339</v>
      </c>
      <c r="D104" s="9"/>
      <c r="E104" s="8" t="s">
        <v>340</v>
      </c>
      <c r="F104" s="9"/>
      <c r="G104" s="8" t="s">
        <v>341</v>
      </c>
      <c r="H104" s="9"/>
      <c r="I104" s="8" t="s">
        <v>342</v>
      </c>
      <c r="J104" s="9"/>
      <c r="K104" s="8" t="s">
        <v>343</v>
      </c>
      <c r="L104" s="9"/>
      <c r="M104" s="8" t="s">
        <v>344</v>
      </c>
      <c r="N104" s="9"/>
      <c r="O104" s="8" t="s">
        <v>345</v>
      </c>
      <c r="P104" s="9"/>
      <c r="Q104" s="8" t="s">
        <v>346</v>
      </c>
      <c r="R104" s="9"/>
      <c r="S104" s="8" t="s">
        <v>347</v>
      </c>
      <c r="T104" s="9"/>
      <c r="U104" s="8" t="s">
        <v>348</v>
      </c>
      <c r="V104" s="9"/>
    </row>
    <row r="105" spans="3:22" x14ac:dyDescent="0.3">
      <c r="C105" s="10" cm="1">
        <f t="array" ref="C105:D109">LINEST(H3:H102,$E$3:$E$102,1,1)</f>
        <v>11.002207636744096</v>
      </c>
      <c r="D105" s="11">
        <v>112.82551517579941</v>
      </c>
      <c r="E105" s="10" cm="1">
        <f t="array" ref="E105:F109">LINEST(I3:I102,$E$3:$E$102,1,1)</f>
        <v>11.000422797471638</v>
      </c>
      <c r="F105" s="11">
        <v>113.77506751711553</v>
      </c>
      <c r="G105" s="10" cm="1">
        <f t="array" ref="G105:H109">LINEST(J3:J102,$E$3:$E$102,1,1)</f>
        <v>10.998469471111898</v>
      </c>
      <c r="H105" s="11">
        <v>114.81425667372878</v>
      </c>
      <c r="I105" s="10" cm="1">
        <f t="array" ref="I105:J109">LINEST(K3:K102,$E$3:$E$102,1,1)</f>
        <v>10.995686647765362</v>
      </c>
      <c r="J105" s="11">
        <v>116.29474652234057</v>
      </c>
      <c r="K105" s="10" cm="1">
        <f t="array" ref="K105:L109">LINEST(L3:L102,$E$3:$E$102,1,1)</f>
        <v>10.998763366468342</v>
      </c>
      <c r="L105" s="11">
        <v>114.65790140519584</v>
      </c>
      <c r="M105" s="10" cm="1">
        <f t="array" ref="M105:N109">LINEST(M3:M102,$E$3:$E$102,1,1)</f>
        <v>10.994477331015542</v>
      </c>
      <c r="N105" s="11">
        <v>116.93811512643424</v>
      </c>
      <c r="O105" s="10" cm="1">
        <f t="array" ref="O105:P109">LINEST(N3:N102,$E$3:$E$102,1,1)</f>
        <v>11.00108574009052</v>
      </c>
      <c r="P105" s="11">
        <v>113.42237541444683</v>
      </c>
      <c r="Q105" s="10" cm="1">
        <f t="array" ref="Q105:R109">LINEST(O3:O102,$E$3:$E$102,1,1)</f>
        <v>10.999714816944957</v>
      </c>
      <c r="R105" s="11">
        <v>114.15172023713421</v>
      </c>
      <c r="S105" s="10" cm="1">
        <f t="array" ref="S105:T109">LINEST(P3:P102,$E$3:$E$102,1,1)</f>
        <v>11.00264784561983</v>
      </c>
      <c r="T105" s="11">
        <v>112.59131965178403</v>
      </c>
      <c r="U105" s="10" cm="1">
        <f t="array" ref="U105:V109">LINEST(Q3:Q102,$E$3:$E$102,1,1)</f>
        <v>10.999008598075429</v>
      </c>
      <c r="V105" s="11">
        <v>114.52743573787575</v>
      </c>
    </row>
    <row r="106" spans="3:22" x14ac:dyDescent="0.3">
      <c r="C106" s="10">
        <v>2.8746203710838789E-3</v>
      </c>
      <c r="D106" s="11">
        <v>1.721810329664496</v>
      </c>
      <c r="E106" s="10">
        <v>3.5244492873716844E-3</v>
      </c>
      <c r="F106" s="11">
        <v>2.1110381219093388</v>
      </c>
      <c r="G106" s="10">
        <v>3.4160845351439086E-3</v>
      </c>
      <c r="H106" s="11">
        <v>2.04613092524637</v>
      </c>
      <c r="I106" s="10">
        <v>2.895137850612147E-3</v>
      </c>
      <c r="J106" s="11">
        <v>1.7340996769973867</v>
      </c>
      <c r="K106" s="10">
        <v>2.8426739790797964E-3</v>
      </c>
      <c r="L106" s="11">
        <v>1.7026754107369575</v>
      </c>
      <c r="M106" s="10">
        <v>3.0646512205171274E-3</v>
      </c>
      <c r="N106" s="11">
        <v>1.8356330391952562</v>
      </c>
      <c r="O106" s="10">
        <v>3.4287145445274468E-3</v>
      </c>
      <c r="P106" s="11">
        <v>2.0536959174238016</v>
      </c>
      <c r="Q106" s="10">
        <v>3.4913181285570558E-3</v>
      </c>
      <c r="R106" s="11">
        <v>2.0911935636314491</v>
      </c>
      <c r="S106" s="10">
        <v>2.8241902561931117E-3</v>
      </c>
      <c r="T106" s="11">
        <v>1.6916042218881324</v>
      </c>
      <c r="U106" s="10">
        <v>2.8159199362519202E-3</v>
      </c>
      <c r="V106" s="11">
        <v>1.6866505513277985</v>
      </c>
    </row>
    <row r="107" spans="3:22" x14ac:dyDescent="0.3">
      <c r="C107" s="10">
        <v>0.99999331002500658</v>
      </c>
      <c r="D107" s="11">
        <v>7.9106915010057444</v>
      </c>
      <c r="E107" s="10">
        <v>0.9999899402894733</v>
      </c>
      <c r="F107" s="11">
        <v>9.6989610537075688</v>
      </c>
      <c r="G107" s="10">
        <v>0.99999054601995829</v>
      </c>
      <c r="H107" s="11">
        <v>9.400751198562892</v>
      </c>
      <c r="I107" s="10">
        <v>0.99999320613504661</v>
      </c>
      <c r="J107" s="11">
        <v>7.967153722090309</v>
      </c>
      <c r="K107" s="10">
        <v>0.99999345379466109</v>
      </c>
      <c r="L107" s="11">
        <v>7.8227779614453166</v>
      </c>
      <c r="M107" s="10">
        <v>0.99999238559970838</v>
      </c>
      <c r="N107" s="11">
        <v>8.4336389624034709</v>
      </c>
      <c r="O107" s="10">
        <v>0.99999048051394857</v>
      </c>
      <c r="P107" s="11">
        <v>9.4355078255224036</v>
      </c>
      <c r="Q107" s="10">
        <v>0.99999012725809522</v>
      </c>
      <c r="R107" s="11">
        <v>9.6077871445925584</v>
      </c>
      <c r="S107" s="10">
        <v>0.99999354320874401</v>
      </c>
      <c r="T107" s="11">
        <v>7.7719124520314571</v>
      </c>
      <c r="U107" s="10">
        <v>0.99999357672067801</v>
      </c>
      <c r="V107" s="11">
        <v>7.7491532903948492</v>
      </c>
    </row>
    <row r="108" spans="3:22" x14ac:dyDescent="0.3">
      <c r="C108" s="10">
        <v>14648686.20266065</v>
      </c>
      <c r="D108" s="11">
        <v>98</v>
      </c>
      <c r="E108" s="10">
        <v>9741733.013923645</v>
      </c>
      <c r="F108" s="11">
        <v>98</v>
      </c>
      <c r="G108" s="10">
        <v>10365906.536459282</v>
      </c>
      <c r="H108" s="11">
        <v>98</v>
      </c>
      <c r="I108" s="10">
        <v>14424680.925053112</v>
      </c>
      <c r="J108" s="11">
        <v>98</v>
      </c>
      <c r="K108" s="10">
        <v>14970407.036919357</v>
      </c>
      <c r="L108" s="11">
        <v>98</v>
      </c>
      <c r="M108" s="10">
        <v>12870252.421129642</v>
      </c>
      <c r="N108" s="11">
        <v>98</v>
      </c>
      <c r="O108" s="10">
        <v>10294575.417360291</v>
      </c>
      <c r="P108" s="11">
        <v>98</v>
      </c>
      <c r="Q108" s="10">
        <v>9926222.4634749833</v>
      </c>
      <c r="R108" s="11">
        <v>98</v>
      </c>
      <c r="S108" s="10">
        <v>15177719.605554704</v>
      </c>
      <c r="T108" s="11">
        <v>98</v>
      </c>
      <c r="U108" s="10">
        <v>15256906.263127338</v>
      </c>
      <c r="V108" s="11">
        <v>98</v>
      </c>
    </row>
    <row r="109" spans="3:22" x14ac:dyDescent="0.3">
      <c r="C109" s="12">
        <v>916700720.17655551</v>
      </c>
      <c r="D109" s="13">
        <v>6132.7459223602827</v>
      </c>
      <c r="E109" s="12">
        <v>916403319.72989833</v>
      </c>
      <c r="F109" s="13">
        <v>9218.8448610909491</v>
      </c>
      <c r="G109" s="12">
        <v>916077900.26796889</v>
      </c>
      <c r="H109" s="13">
        <v>8660.6640635336007</v>
      </c>
      <c r="I109" s="12">
        <v>915614388.4191432</v>
      </c>
      <c r="J109" s="13">
        <v>6220.6027662789111</v>
      </c>
      <c r="K109" s="12">
        <v>916126858.83240652</v>
      </c>
      <c r="L109" s="13">
        <v>5997.1937933393056</v>
      </c>
      <c r="M109" s="12">
        <v>915412999.0993948</v>
      </c>
      <c r="N109" s="13">
        <v>6970.3740825206487</v>
      </c>
      <c r="O109" s="12">
        <v>916513777.50668693</v>
      </c>
      <c r="P109" s="13">
        <v>8724.8231766984627</v>
      </c>
      <c r="Q109" s="12">
        <v>916285365.20417655</v>
      </c>
      <c r="R109" s="13">
        <v>9046.3382339482068</v>
      </c>
      <c r="S109" s="12">
        <v>916774077.79345167</v>
      </c>
      <c r="T109" s="13">
        <v>5919.4570698800781</v>
      </c>
      <c r="U109" s="12">
        <v>916167711.74631643</v>
      </c>
      <c r="V109" s="13">
        <v>5884.8389183676572</v>
      </c>
    </row>
    <row r="111" spans="3:22" x14ac:dyDescent="0.3">
      <c r="C111" t="s">
        <v>351</v>
      </c>
      <c r="F111" s="2" t="s">
        <v>358</v>
      </c>
      <c r="I111" t="s">
        <v>359</v>
      </c>
    </row>
    <row r="112" spans="3:22" x14ac:dyDescent="0.3">
      <c r="C112" s="4"/>
      <c r="F112" t="s">
        <v>354</v>
      </c>
      <c r="G112" t="s">
        <v>355</v>
      </c>
    </row>
    <row r="113" spans="2:12" x14ac:dyDescent="0.3">
      <c r="B113" s="14"/>
      <c r="C113" s="15" t="s">
        <v>354</v>
      </c>
      <c r="D113" s="9" t="s">
        <v>355</v>
      </c>
      <c r="E113" t="s">
        <v>360</v>
      </c>
      <c r="F113">
        <v>11</v>
      </c>
      <c r="G113">
        <v>14</v>
      </c>
      <c r="I113" s="14"/>
      <c r="J113" s="15" t="s">
        <v>354</v>
      </c>
      <c r="K113" s="9" t="s">
        <v>355</v>
      </c>
      <c r="L113" t="s">
        <v>360</v>
      </c>
    </row>
    <row r="114" spans="2:12" x14ac:dyDescent="0.3">
      <c r="B114" s="10" t="s">
        <v>357</v>
      </c>
      <c r="C114">
        <f>AVERAGE(C105,E105,G105,I105,K105,M105,O105,Q105,S105,U105)</f>
        <v>10.999248425130762</v>
      </c>
      <c r="D114" s="11">
        <f>AVERAGE(D105,F105,H105,J105,L105,N105,P105,R105,T105,V105)</f>
        <v>114.39984534618551</v>
      </c>
      <c r="E114">
        <f>AVERAGE(D107,F107,H107,J107,L107,N107,P107,R107,T107,V107)</f>
        <v>8.5798335111756572</v>
      </c>
      <c r="I114" s="10" t="s">
        <v>357</v>
      </c>
      <c r="J114">
        <v>10.999248425130762</v>
      </c>
      <c r="K114" s="11">
        <v>14.39984534618543</v>
      </c>
      <c r="L114">
        <v>8.5798335111756572</v>
      </c>
    </row>
    <row r="115" spans="2:12" x14ac:dyDescent="0.3">
      <c r="B115" s="10" t="s">
        <v>352</v>
      </c>
      <c r="C115">
        <f>MIN(C105,E105,G105,I105,K105,M105,O105,Q105,S105,U105)</f>
        <v>10.994477331015542</v>
      </c>
      <c r="D115" s="11">
        <f>MIN(D105,F105,H105,J105,L105,N105,P105,R105,T105,V105)</f>
        <v>112.59131965178403</v>
      </c>
      <c r="E115" s="11">
        <f>MIN(D107,F107,H107,J107,L107,N107,P107,R107,T107,V107)</f>
        <v>7.7491532903948492</v>
      </c>
      <c r="I115" s="10" t="s">
        <v>352</v>
      </c>
      <c r="J115">
        <v>10.994477331015542</v>
      </c>
      <c r="K115" s="11">
        <v>12.591319651784033</v>
      </c>
      <c r="L115">
        <v>7.7491532903948492</v>
      </c>
    </row>
    <row r="116" spans="2:12" x14ac:dyDescent="0.3">
      <c r="B116" s="10" t="s">
        <v>353</v>
      </c>
      <c r="C116">
        <f>MAX(C105,E105,G105,I105,K105,M105,O105,Q105,S105,U105)</f>
        <v>11.00264784561983</v>
      </c>
      <c r="D116" s="11">
        <f>MAX(D105,F105,H105,J105,L105,N105,P105,R105,T105,V105)</f>
        <v>116.93811512643424</v>
      </c>
      <c r="E116" s="11">
        <f>MAX(D107,F107,H107,J107,L107,N107,P107,R107,T107,V107)</f>
        <v>9.6989610537075688</v>
      </c>
      <c r="I116" s="10" t="s">
        <v>353</v>
      </c>
      <c r="J116">
        <v>11.00264784561983</v>
      </c>
      <c r="K116" s="11">
        <v>16.938115126434241</v>
      </c>
      <c r="L116">
        <v>9.6989610537075688</v>
      </c>
    </row>
    <row r="117" spans="2:12" x14ac:dyDescent="0.3">
      <c r="B117" s="12" t="s">
        <v>356</v>
      </c>
      <c r="C117" s="16">
        <f>C116-C115</f>
        <v>8.1705146042878596E-3</v>
      </c>
      <c r="D117" s="13">
        <f>D116-D115</f>
        <v>4.3467954746502073</v>
      </c>
      <c r="E117" s="13">
        <f>E116-E115</f>
        <v>1.9498077633127195</v>
      </c>
      <c r="I117" s="12" t="s">
        <v>356</v>
      </c>
      <c r="J117" s="16">
        <v>8.1705146042878596E-3</v>
      </c>
      <c r="K117" s="13">
        <v>4.3467954746502073</v>
      </c>
      <c r="L117">
        <v>1.9498077633127195</v>
      </c>
    </row>
    <row r="120" spans="2:12" x14ac:dyDescent="0.3">
      <c r="C120" s="18" t="s">
        <v>362</v>
      </c>
      <c r="D120" s="18"/>
      <c r="E120" s="18"/>
      <c r="F120" s="18"/>
      <c r="G120" s="18"/>
      <c r="H120" s="18"/>
      <c r="I120" s="18"/>
      <c r="J120" s="18"/>
    </row>
    <row r="121" spans="2:12" x14ac:dyDescent="0.3">
      <c r="C121" s="18"/>
      <c r="D121" s="18"/>
      <c r="E121" s="18"/>
      <c r="F121" s="18"/>
      <c r="G121" s="18"/>
      <c r="H121" s="18"/>
      <c r="I121" s="18"/>
      <c r="J121" s="18"/>
    </row>
    <row r="122" spans="2:12" x14ac:dyDescent="0.3">
      <c r="C122" s="18"/>
      <c r="D122" s="18"/>
      <c r="E122" s="18"/>
      <c r="F122" s="18"/>
      <c r="G122" s="18"/>
      <c r="H122" s="18"/>
      <c r="I122" s="18"/>
      <c r="J122" s="18"/>
    </row>
  </sheetData>
  <mergeCells count="1">
    <mergeCell ref="C120:J1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22"/>
  <sheetViews>
    <sheetView topLeftCell="A106" workbookViewId="0">
      <selection activeCell="C120" sqref="C120:J122"/>
    </sheetView>
  </sheetViews>
  <sheetFormatPr defaultRowHeight="14.4" x14ac:dyDescent="0.3"/>
  <cols>
    <col min="1" max="1" width="17.88671875" customWidth="1"/>
  </cols>
  <sheetData>
    <row r="1" spans="1:19" x14ac:dyDescent="0.3">
      <c r="A1" s="3" t="s">
        <v>213</v>
      </c>
      <c r="C1" t="s">
        <v>9</v>
      </c>
    </row>
    <row r="2" spans="1:19" x14ac:dyDescent="0.3">
      <c r="A2" s="3"/>
      <c r="H2" t="s">
        <v>329</v>
      </c>
      <c r="I2" t="s">
        <v>331</v>
      </c>
      <c r="J2" t="s">
        <v>330</v>
      </c>
      <c r="K2" t="s">
        <v>332</v>
      </c>
      <c r="L2" t="s">
        <v>333</v>
      </c>
      <c r="M2" t="s">
        <v>334</v>
      </c>
      <c r="N2" t="s">
        <v>335</v>
      </c>
      <c r="O2" t="s">
        <v>336</v>
      </c>
      <c r="P2" t="s">
        <v>337</v>
      </c>
      <c r="Q2" t="s">
        <v>338</v>
      </c>
    </row>
    <row r="3" spans="1:19" x14ac:dyDescent="0.3">
      <c r="A3" s="1" t="s">
        <v>2</v>
      </c>
      <c r="B3" s="2">
        <v>14</v>
      </c>
      <c r="C3" s="4" t="s">
        <v>11</v>
      </c>
      <c r="D3" s="4" t="s">
        <v>5</v>
      </c>
      <c r="E3" s="4">
        <v>212</v>
      </c>
      <c r="F3" s="4" t="s">
        <v>218</v>
      </c>
      <c r="G3" s="4" t="s">
        <v>5</v>
      </c>
      <c r="H3" s="2">
        <f>$B$3+$B$4*$E3+('Станд.норм.распр.'!B3*$B$5*$S3)</f>
        <v>2345.7469467416522</v>
      </c>
      <c r="I3" s="2">
        <f>$B$3+$B$4*$E3+('Станд.норм.распр.'!C3*$B$5*$S3)</f>
        <v>2330.6845685169683</v>
      </c>
      <c r="J3" s="2">
        <f>$B$3+$B$4*$E3+('Станд.норм.распр.'!D3*$B$5*$S3)</f>
        <v>2341.1263612274488</v>
      </c>
      <c r="K3" s="2">
        <f>$B$3+$B$4*$E3+('Станд.норм.распр.'!E3*$B$5*$S3)</f>
        <v>2349.5931373076892</v>
      </c>
      <c r="L3" s="2">
        <f>$B$3+$B$4*$E3+('Станд.норм.распр.'!F3*$B$5*$S3)</f>
        <v>2337.5392842467409</v>
      </c>
      <c r="M3" s="2">
        <f>$B$3+$B$4*$E3+('Станд.норм.распр.'!G3*$B$5*$S3)</f>
        <v>2349.4341348964517</v>
      </c>
      <c r="N3" s="2">
        <f>$B$3+$B$4*$E3+('Станд.норм.распр.'!H3*$B$5*$S3)</f>
        <v>2353.9433880273427</v>
      </c>
      <c r="O3" s="2">
        <f>$B$3+$B$4*$E3+('Станд.норм.распр.'!I3*$B$5*$S3)</f>
        <v>2326.8995744388085</v>
      </c>
      <c r="P3" s="2">
        <f>$B$3+$B$4*$E3+('Станд.норм.распр.'!J3*$B$5*$S3)</f>
        <v>2353.3036949288507</v>
      </c>
      <c r="Q3" s="2">
        <f>$B$3+$B$4*$E3+('Станд.норм.распр.'!K3*$B$5*$S3)</f>
        <v>2337.4802333478292</v>
      </c>
      <c r="S3">
        <v>1</v>
      </c>
    </row>
    <row r="4" spans="1:19" x14ac:dyDescent="0.3">
      <c r="A4" s="1" t="s">
        <v>3</v>
      </c>
      <c r="B4" s="2">
        <v>11</v>
      </c>
      <c r="C4" s="4" t="s">
        <v>12</v>
      </c>
      <c r="D4" s="4" t="s">
        <v>5</v>
      </c>
      <c r="E4" s="4">
        <v>780</v>
      </c>
      <c r="F4" s="4" t="s">
        <v>230</v>
      </c>
      <c r="G4" s="4" t="s">
        <v>5</v>
      </c>
      <c r="H4" s="2">
        <f>$B$3+$B$4*$E4+('Станд.норм.распр.'!B4*$B$5*$S4)</f>
        <v>8591.5920854922151</v>
      </c>
      <c r="I4" s="2">
        <f>$B$3+$B$4*$E4+('Станд.норм.распр.'!C4*$B$5*$S4)</f>
        <v>8631.0625821233261</v>
      </c>
      <c r="J4" s="2">
        <f>$B$3+$B$4*$E4+('Станд.норм.распр.'!D4*$B$5*$S4)</f>
        <v>8630.7805114365183</v>
      </c>
      <c r="K4" s="2">
        <f>$B$3+$B$4*$E4+('Станд.норм.распр.'!E4*$B$5*$S4)</f>
        <v>8617.4573781199288</v>
      </c>
      <c r="L4" s="2">
        <f>$B$3+$B$4*$E4+('Станд.норм.распр.'!F4*$B$5*$S4)</f>
        <v>8608.1208056447795</v>
      </c>
      <c r="M4" s="2">
        <f>$B$3+$B$4*$E4+('Станд.норм.распр.'!G4*$B$5*$S4)</f>
        <v>8577.5191238162224</v>
      </c>
      <c r="N4" s="2">
        <f>$B$3+$B$4*$E4+('Станд.норм.распр.'!H4*$B$5*$S4)</f>
        <v>8578.5642280888278</v>
      </c>
      <c r="O4" s="2">
        <f>$B$3+$B$4*$E4+('Станд.норм.распр.'!I4*$B$5*$S4)</f>
        <v>8605.7286481327028</v>
      </c>
      <c r="P4" s="2">
        <f>$B$3+$B$4*$E4+('Станд.норм.распр.'!J4*$B$5*$S4)</f>
        <v>8594.8437154974672</v>
      </c>
      <c r="Q4" s="2">
        <f>$B$3+$B$4*$E4+('Станд.норм.распр.'!K4*$B$5*$S4)</f>
        <v>8606.6641634778935</v>
      </c>
      <c r="S4">
        <v>2</v>
      </c>
    </row>
    <row r="5" spans="1:19" x14ac:dyDescent="0.3">
      <c r="A5" s="1" t="s">
        <v>4</v>
      </c>
      <c r="B5" s="2">
        <v>9</v>
      </c>
      <c r="C5" s="4" t="s">
        <v>13</v>
      </c>
      <c r="D5" s="4" t="s">
        <v>5</v>
      </c>
      <c r="E5" s="4">
        <v>280</v>
      </c>
      <c r="F5" s="4" t="s">
        <v>231</v>
      </c>
      <c r="G5" s="4" t="s">
        <v>5</v>
      </c>
      <c r="H5" s="2">
        <f>$B$3+$B$4*$E5+('Станд.норм.распр.'!B5*$B$5*$S5)</f>
        <v>3076.757968837177</v>
      </c>
      <c r="I5" s="2">
        <f>$B$3+$B$4*$E5+('Станд.норм.распр.'!C5*$B$5*$S5)</f>
        <v>3083.5975588515284</v>
      </c>
      <c r="J5" s="2">
        <f>$B$3+$B$4*$E5+('Станд.норм.распр.'!D5*$B$5*$S5)</f>
        <v>3119.2377958531724</v>
      </c>
      <c r="K5" s="2">
        <f>$B$3+$B$4*$E5+('Станд.норм.распр.'!E5*$B$5*$S5)</f>
        <v>3150.1382876185235</v>
      </c>
      <c r="L5" s="2">
        <f>$B$3+$B$4*$E5+('Станд.норм.распр.'!F5*$B$5*$S5)</f>
        <v>3104.0805993952235</v>
      </c>
      <c r="M5" s="2">
        <f>$B$3+$B$4*$E5+('Станд.норм.распр.'!G5*$B$5*$S5)</f>
        <v>3092.6082991654257</v>
      </c>
      <c r="N5" s="2">
        <f>$B$3+$B$4*$E5+('Станд.норм.распр.'!H5*$B$5*$S5)</f>
        <v>3129.0457675721846</v>
      </c>
      <c r="O5" s="2">
        <f>$B$3+$B$4*$E5+('Станд.норм.распр.'!I5*$B$5*$S5)</f>
        <v>3063.5768838137155</v>
      </c>
      <c r="P5" s="2">
        <f>$B$3+$B$4*$E5+('Станд.норм.распр.'!J5*$B$5*$S5)</f>
        <v>3066.6412102063478</v>
      </c>
      <c r="Q5" s="2">
        <f>$B$3+$B$4*$E5+('Станд.норм.распр.'!K5*$B$5*$S5)</f>
        <v>3075.0513634201925</v>
      </c>
      <c r="S5">
        <v>3</v>
      </c>
    </row>
    <row r="6" spans="1:19" x14ac:dyDescent="0.3">
      <c r="C6" s="4" t="s">
        <v>14</v>
      </c>
      <c r="D6" s="4" t="s">
        <v>5</v>
      </c>
      <c r="E6" s="4">
        <v>888</v>
      </c>
      <c r="F6" s="4" t="s">
        <v>232</v>
      </c>
      <c r="G6" s="4" t="s">
        <v>5</v>
      </c>
      <c r="H6" s="2">
        <f>$B$3+$B$4*$E6+('Станд.норм.распр.'!B6*$B$5*$S6)</f>
        <v>9749.8506537748035</v>
      </c>
      <c r="I6" s="2">
        <f>$B$3+$B$4*$E6+('Станд.норм.распр.'!C6*$B$5*$S6)</f>
        <v>9859.1789927966893</v>
      </c>
      <c r="J6" s="2">
        <f>$B$3+$B$4*$E6+('Станд.норм.распр.'!D6*$B$5*$S6)</f>
        <v>9780.9988373272354</v>
      </c>
      <c r="K6" s="2">
        <f>$B$3+$B$4*$E6+('Станд.норм.распр.'!E6*$B$5*$S6)</f>
        <v>9771.0301842242479</v>
      </c>
      <c r="L6" s="2">
        <f>$B$3+$B$4*$E6+('Станд.норм.распр.'!F6*$B$5*$S6)</f>
        <v>9793.5075999929104</v>
      </c>
      <c r="M6" s="2">
        <f>$B$3+$B$4*$E6+('Станд.норм.распр.'!G6*$B$5*$S6)</f>
        <v>9792.494732123334</v>
      </c>
      <c r="N6" s="2">
        <f>$B$3+$B$4*$E6+('Станд.норм.распр.'!H6*$B$5*$S6)</f>
        <v>9862.846730270423</v>
      </c>
      <c r="O6" s="2">
        <f>$B$3+$B$4*$E6+('Станд.норм.распр.'!I6*$B$5*$S6)</f>
        <v>9793.1805911728879</v>
      </c>
      <c r="P6" s="2">
        <f>$B$3+$B$4*$E6+('Станд.норм.распр.'!J6*$B$5*$S6)</f>
        <v>9784.4763448891463</v>
      </c>
      <c r="Q6" s="2">
        <f>$B$3+$B$4*$E6+('Станд.норм.распр.'!K6*$B$5*$S6)</f>
        <v>9783.5909245121293</v>
      </c>
      <c r="S6">
        <v>4</v>
      </c>
    </row>
    <row r="7" spans="1:19" x14ac:dyDescent="0.3">
      <c r="C7" s="4" t="s">
        <v>15</v>
      </c>
      <c r="D7" s="4" t="s">
        <v>5</v>
      </c>
      <c r="E7" s="4">
        <v>314</v>
      </c>
      <c r="F7" s="4" t="s">
        <v>233</v>
      </c>
      <c r="G7" s="4" t="s">
        <v>5</v>
      </c>
      <c r="H7" s="2">
        <f>$B$3+$B$4*$E7+('Станд.норм.распр.'!B7*$B$5*$S7)</f>
        <v>3468.1806938598747</v>
      </c>
      <c r="I7" s="2">
        <f>$B$3+$B$4*$E7+('Станд.норм.распр.'!C7*$B$5*$S7)</f>
        <v>3471.1161505376076</v>
      </c>
      <c r="J7" s="2">
        <f>$B$3+$B$4*$E7+('Станд.норм.распр.'!D7*$B$5*$S7)</f>
        <v>3488.8371432108834</v>
      </c>
      <c r="K7" s="2">
        <f>$B$3+$B$4*$E7+('Станд.норм.распр.'!E7*$B$5*$S7)</f>
        <v>3466.3386601343227</v>
      </c>
      <c r="L7" s="2">
        <f>$B$3+$B$4*$E7+('Станд.норм.распр.'!F7*$B$5*$S7)</f>
        <v>3477.5816346856736</v>
      </c>
      <c r="M7" s="2">
        <f>$B$3+$B$4*$E7+('Станд.норм.распр.'!G7*$B$5*$S7)</f>
        <v>3464.034352989227</v>
      </c>
      <c r="N7" s="2">
        <f>$B$3+$B$4*$E7+('Станд.норм.распр.'!H7*$B$5*$S7)</f>
        <v>3456.0054474488134</v>
      </c>
      <c r="O7" s="2">
        <f>$B$3+$B$4*$E7+('Станд.норм.распр.'!I7*$B$5*$S7)</f>
        <v>3484.4950165526534</v>
      </c>
      <c r="P7" s="2">
        <f>$B$3+$B$4*$E7+('Станд.норм.распр.'!J7*$B$5*$S7)</f>
        <v>3469.911645767977</v>
      </c>
      <c r="Q7" s="2">
        <f>$B$3+$B$4*$E7+('Станд.норм.распр.'!K7*$B$5*$S7)</f>
        <v>3537.068232733116</v>
      </c>
      <c r="S7">
        <v>5</v>
      </c>
    </row>
    <row r="8" spans="1:19" x14ac:dyDescent="0.3">
      <c r="C8" s="4" t="s">
        <v>16</v>
      </c>
      <c r="D8" s="4" t="s">
        <v>5</v>
      </c>
      <c r="E8" s="4">
        <v>780</v>
      </c>
      <c r="F8" s="4" t="s">
        <v>234</v>
      </c>
      <c r="G8" s="4" t="s">
        <v>5</v>
      </c>
      <c r="H8" s="2">
        <f>$B$3+$B$4*$E8+('Станд.норм.распр.'!B8*$B$5*$S8)</f>
        <v>8549.2992039753008</v>
      </c>
      <c r="I8" s="2">
        <f>$B$3+$B$4*$E8+('Станд.норм.распр.'!C8*$B$5*$S8)</f>
        <v>8495.6004676377634</v>
      </c>
      <c r="J8" s="2">
        <f>$B$3+$B$4*$E8+('Станд.норм.распр.'!D8*$B$5*$S8)</f>
        <v>8625.2571114591265</v>
      </c>
      <c r="K8" s="2">
        <f>$B$3+$B$4*$E8+('Станд.норм.распр.'!E8*$B$5*$S8)</f>
        <v>8543.113703223702</v>
      </c>
      <c r="L8" s="2">
        <f>$B$3+$B$4*$E8+('Станд.норм.распр.'!F8*$B$5*$S8)</f>
        <v>8626.5259998135152</v>
      </c>
      <c r="M8" s="2">
        <f>$B$3+$B$4*$E8+('Станд.норм.распр.'!G8*$B$5*$S8)</f>
        <v>8604.3132401818584</v>
      </c>
      <c r="N8" s="2">
        <f>$B$3+$B$4*$E8+('Станд.норм.распр.'!H8*$B$5*$S8)</f>
        <v>8582.6921045799681</v>
      </c>
      <c r="O8" s="2">
        <f>$B$3+$B$4*$E8+('Станд.норм.распр.'!I8*$B$5*$S8)</f>
        <v>8550.9655983577832</v>
      </c>
      <c r="P8" s="2">
        <f>$B$3+$B$4*$E8+('Станд.норм.распр.'!J8*$B$5*$S8)</f>
        <v>8548.5795799349435</v>
      </c>
      <c r="Q8" s="2">
        <f>$B$3+$B$4*$E8+('Станд.норм.распр.'!K8*$B$5*$S8)</f>
        <v>8643.5244012199691</v>
      </c>
      <c r="S8">
        <v>6</v>
      </c>
    </row>
    <row r="9" spans="1:19" x14ac:dyDescent="0.3">
      <c r="C9" s="4" t="s">
        <v>17</v>
      </c>
      <c r="D9" s="4" t="s">
        <v>5</v>
      </c>
      <c r="E9" s="4">
        <v>993</v>
      </c>
      <c r="F9" s="4" t="s">
        <v>235</v>
      </c>
      <c r="G9" s="4" t="s">
        <v>5</v>
      </c>
      <c r="H9" s="2">
        <f>$B$3+$B$4*$E9+('Станд.норм.распр.'!B9*$B$5*$S9)</f>
        <v>11018.607629454084</v>
      </c>
      <c r="I9" s="2">
        <f>$B$3+$B$4*$E9+('Станд.норм.распр.'!C9*$B$5*$S9)</f>
        <v>10879.214226393844</v>
      </c>
      <c r="J9" s="2">
        <f>$B$3+$B$4*$E9+('Станд.норм.распр.'!D9*$B$5*$S9)</f>
        <v>10993.823594150046</v>
      </c>
      <c r="K9" s="2">
        <f>$B$3+$B$4*$E9+('Станд.норм.распр.'!E9*$B$5*$S9)</f>
        <v>11008.77483439591</v>
      </c>
      <c r="L9" s="2">
        <f>$B$3+$B$4*$E9+('Станд.норм.распр.'!F9*$B$5*$S9)</f>
        <v>10952.920080613796</v>
      </c>
      <c r="M9" s="2">
        <f>$B$3+$B$4*$E9+('Станд.норм.распр.'!G9*$B$5*$S9)</f>
        <v>10932.419942706576</v>
      </c>
      <c r="N9" s="2">
        <f>$B$3+$B$4*$E9+('Станд.норм.распр.'!H9*$B$5*$S9)</f>
        <v>10973.295809877629</v>
      </c>
      <c r="O9" s="2">
        <f>$B$3+$B$4*$E9+('Станд.норм.распр.'!I9*$B$5*$S9)</f>
        <v>10975.799811363788</v>
      </c>
      <c r="P9" s="2">
        <f>$B$3+$B$4*$E9+('Станд.норм.распр.'!J9*$B$5*$S9)</f>
        <v>10983.835377816024</v>
      </c>
      <c r="Q9" s="2">
        <f>$B$3+$B$4*$E9+('Станд.норм.распр.'!K9*$B$5*$S9)</f>
        <v>10949.434848031262</v>
      </c>
      <c r="S9">
        <v>7</v>
      </c>
    </row>
    <row r="10" spans="1:19" x14ac:dyDescent="0.3">
      <c r="C10" s="4" t="s">
        <v>18</v>
      </c>
      <c r="D10" s="4" t="s">
        <v>5</v>
      </c>
      <c r="E10" s="4">
        <v>326</v>
      </c>
      <c r="F10" s="4" t="s">
        <v>236</v>
      </c>
      <c r="G10" s="4" t="s">
        <v>5</v>
      </c>
      <c r="H10" s="2">
        <f>$B$3+$B$4*$E10+('Станд.норм.распр.'!B10*$B$5*$S10)</f>
        <v>3623.967904780875</v>
      </c>
      <c r="I10" s="2">
        <f>$B$3+$B$4*$E10+('Станд.норм.распр.'!C10*$B$5*$S10)</f>
        <v>3444.2996002268046</v>
      </c>
      <c r="J10" s="2">
        <f>$B$3+$B$4*$E10+('Станд.норм.распр.'!D10*$B$5*$S10)</f>
        <v>3547.6430639333557</v>
      </c>
      <c r="K10" s="2">
        <f>$B$3+$B$4*$E10+('Станд.норм.распр.'!E10*$B$5*$S10)</f>
        <v>3632.087546060211</v>
      </c>
      <c r="L10" s="2">
        <f>$B$3+$B$4*$E10+('Станд.норм.распр.'!F10*$B$5*$S10)</f>
        <v>3601.7654383555055</v>
      </c>
      <c r="M10" s="2">
        <f>$B$3+$B$4*$E10+('Станд.норм.распр.'!G10*$B$5*$S10)</f>
        <v>3730.0288568018004</v>
      </c>
      <c r="N10" s="2">
        <f>$B$3+$B$4*$E10+('Станд.норм.распр.'!H10*$B$5*$S10)</f>
        <v>3699.7418646875303</v>
      </c>
      <c r="O10" s="2">
        <f>$B$3+$B$4*$E10+('Станд.норм.распр.'!I10*$B$5*$S10)</f>
        <v>3620.9607333090389</v>
      </c>
      <c r="P10" s="2">
        <f>$B$3+$B$4*$E10+('Станд.норм.распр.'!J10*$B$5*$S10)</f>
        <v>3659.8126305704932</v>
      </c>
      <c r="Q10" s="2">
        <f>$B$3+$B$4*$E10+('Станд.норм.распр.'!K10*$B$5*$S10)</f>
        <v>3518.9027948887087</v>
      </c>
      <c r="S10">
        <v>8</v>
      </c>
    </row>
    <row r="11" spans="1:19" x14ac:dyDescent="0.3">
      <c r="C11" s="4" t="s">
        <v>19</v>
      </c>
      <c r="D11" s="4" t="s">
        <v>5</v>
      </c>
      <c r="E11" s="4">
        <v>906</v>
      </c>
      <c r="F11" s="4" t="s">
        <v>237</v>
      </c>
      <c r="G11" s="4" t="s">
        <v>5</v>
      </c>
      <c r="H11" s="2">
        <f>$B$3+$B$4*$E11+('Станд.норм.распр.'!B11*$B$5*$S11)</f>
        <v>10036.347630561504</v>
      </c>
      <c r="I11" s="2">
        <f>$B$3+$B$4*$E11+('Станд.норм.распр.'!C11*$B$5*$S11)</f>
        <v>9957.6963204567437</v>
      </c>
      <c r="J11" s="2">
        <f>$B$3+$B$4*$E11+('Станд.норм.распр.'!D11*$B$5*$S11)</f>
        <v>9925.5004501669464</v>
      </c>
      <c r="K11" s="2">
        <f>$B$3+$B$4*$E11+('Станд.норм.распр.'!E11*$B$5*$S11)</f>
        <v>9983.5609787119029</v>
      </c>
      <c r="L11" s="2">
        <f>$B$3+$B$4*$E11+('Станд.норм.распр.'!F11*$B$5*$S11)</f>
        <v>9960.1002343247092</v>
      </c>
      <c r="M11" s="2">
        <f>$B$3+$B$4*$E11+('Станд.норм.распр.'!G11*$B$5*$S11)</f>
        <v>10066.604807165713</v>
      </c>
      <c r="N11" s="2">
        <f>$B$3+$B$4*$E11+('Станд.норм.распр.'!H11*$B$5*$S11)</f>
        <v>10087.33620456449</v>
      </c>
      <c r="O11" s="2">
        <f>$B$3+$B$4*$E11+('Станд.норм.распр.'!I11*$B$5*$S11)</f>
        <v>10044.602802467562</v>
      </c>
      <c r="P11" s="2">
        <f>$B$3+$B$4*$E11+('Станд.норм.распр.'!J11*$B$5*$S11)</f>
        <v>10071.726833488792</v>
      </c>
      <c r="Q11" s="2">
        <f>$B$3+$B$4*$E11+('Станд.норм.распр.'!K11*$B$5*$S11)</f>
        <v>10007.764215246862</v>
      </c>
      <c r="S11">
        <v>9</v>
      </c>
    </row>
    <row r="12" spans="1:19" x14ac:dyDescent="0.3">
      <c r="C12" s="4" t="s">
        <v>20</v>
      </c>
      <c r="D12" s="4" t="s">
        <v>5</v>
      </c>
      <c r="E12" s="4">
        <v>790</v>
      </c>
      <c r="F12" s="4" t="s">
        <v>238</v>
      </c>
      <c r="G12" s="4" t="s">
        <v>5</v>
      </c>
      <c r="H12" s="2">
        <f>$B$3+$B$4*$E12+('Станд.норм.распр.'!B12*$B$5*$S12)</f>
        <v>8727.8964048548951</v>
      </c>
      <c r="I12" s="2">
        <f>$B$3+$B$4*$E12+('Станд.норм.распр.'!C12*$B$5*$S12)</f>
        <v>8510.9158209546003</v>
      </c>
      <c r="J12" s="2">
        <f>$B$3+$B$4*$E12+('Станд.норм.распр.'!D12*$B$5*$S12)</f>
        <v>8749.9295961263706</v>
      </c>
      <c r="K12" s="2">
        <f>$B$3+$B$4*$E12+('Станд.норм.распр.'!E12*$B$5*$S12)</f>
        <v>8839.1500031887554</v>
      </c>
      <c r="L12" s="2">
        <f>$B$3+$B$4*$E12+('Станд.норм.распр.'!F12*$B$5*$S12)</f>
        <v>8755.4533439854858</v>
      </c>
      <c r="M12" s="2">
        <f>$B$3+$B$4*$E12+('Станд.норм.распр.'!G12*$B$5*$S12)</f>
        <v>8787.4887487144442</v>
      </c>
      <c r="N12" s="2">
        <f>$B$3+$B$4*$E12+('Станд.норм.распр.'!H12*$B$5*$S12)</f>
        <v>8936.9514245502651</v>
      </c>
      <c r="O12" s="2">
        <f>$B$3+$B$4*$E12+('Станд.норм.распр.'!I12*$B$5*$S12)</f>
        <v>8811.5273758033291</v>
      </c>
      <c r="P12" s="2">
        <f>$B$3+$B$4*$E12+('Станд.норм.распр.'!J12*$B$5*$S12)</f>
        <v>8712.5812189354328</v>
      </c>
      <c r="Q12" s="2">
        <f>$B$3+$B$4*$E12+('Станд.норм.распр.'!K12*$B$5*$S12)</f>
        <v>8677.5691744717769</v>
      </c>
      <c r="S12">
        <v>10</v>
      </c>
    </row>
    <row r="13" spans="1:19" x14ac:dyDescent="0.3">
      <c r="C13" s="4" t="s">
        <v>21</v>
      </c>
      <c r="D13" s="4" t="s">
        <v>5</v>
      </c>
      <c r="E13" s="4">
        <v>127</v>
      </c>
      <c r="F13" s="4" t="s">
        <v>239</v>
      </c>
      <c r="G13" s="4" t="s">
        <v>5</v>
      </c>
      <c r="H13" s="2">
        <f>$B$3+$B$4*$E13+('Станд.норм.распр.'!B13*$B$5*$S13)</f>
        <v>1387.6836981507367</v>
      </c>
      <c r="I13" s="2">
        <f>$B$3+$B$4*$E13+('Станд.норм.распр.'!C13*$B$5*$S13)</f>
        <v>1317.3062023196835</v>
      </c>
      <c r="J13" s="2">
        <f>$B$3+$B$4*$E13+('Станд.норм.распр.'!D13*$B$5*$S13)</f>
        <v>1404.5846517473692</v>
      </c>
      <c r="K13" s="2">
        <f>$B$3+$B$4*$E13+('Станд.норм.распр.'!E13*$B$5*$S13)</f>
        <v>1353.2380051328219</v>
      </c>
      <c r="L13" s="2">
        <f>$B$3+$B$4*$E13+('Станд.норм.распр.'!F13*$B$5*$S13)</f>
        <v>1465.6477372154186</v>
      </c>
      <c r="M13" s="2">
        <f>$B$3+$B$4*$E13+('Станд.норм.распр.'!G13*$B$5*$S13)</f>
        <v>1326.6127341848332</v>
      </c>
      <c r="N13" s="2">
        <f>$B$3+$B$4*$E13+('Станд.норм.распр.'!H13*$B$5*$S13)</f>
        <v>1431.9556787922338</v>
      </c>
      <c r="O13" s="2">
        <f>$B$3+$B$4*$E13+('Станд.норм.распр.'!I13*$B$5*$S13)</f>
        <v>1652.3575566606596</v>
      </c>
      <c r="P13" s="2">
        <f>$B$3+$B$4*$E13+('Станд.норм.распр.'!J13*$B$5*$S13)</f>
        <v>1370.3987240587012</v>
      </c>
      <c r="Q13" s="2">
        <f>$B$3+$B$4*$E13+('Станд.норм.распр.'!K13*$B$5*$S13)</f>
        <v>1398.5888897804543</v>
      </c>
      <c r="S13">
        <v>11</v>
      </c>
    </row>
    <row r="14" spans="1:19" x14ac:dyDescent="0.3">
      <c r="C14" s="4" t="s">
        <v>22</v>
      </c>
      <c r="D14" s="4" t="s">
        <v>5</v>
      </c>
      <c r="E14" s="4">
        <v>685</v>
      </c>
      <c r="F14" s="4" t="s">
        <v>240</v>
      </c>
      <c r="G14" s="4" t="s">
        <v>5</v>
      </c>
      <c r="H14" s="2">
        <f>$B$3+$B$4*$E14+('Станд.норм.распр.'!B14*$B$5*$S14)</f>
        <v>7516.289704727591</v>
      </c>
      <c r="I14" s="2">
        <f>$B$3+$B$4*$E14+('Станд.норм.распр.'!C14*$B$5*$S14)</f>
        <v>7476.1889282681514</v>
      </c>
      <c r="J14" s="2">
        <f>$B$3+$B$4*$E14+('Станд.норм.распр.'!D14*$B$5*$S14)</f>
        <v>7549.3759578248719</v>
      </c>
      <c r="K14" s="2">
        <f>$B$3+$B$4*$E14+('Станд.норм.распр.'!E14*$B$5*$S14)</f>
        <v>7578.206594263087</v>
      </c>
      <c r="L14" s="2">
        <f>$B$3+$B$4*$E14+('Станд.норм.распр.'!F14*$B$5*$S14)</f>
        <v>7604.2473829884548</v>
      </c>
      <c r="M14" s="2">
        <f>$B$3+$B$4*$E14+('Станд.норм.распр.'!G14*$B$5*$S14)</f>
        <v>7436.6112022117013</v>
      </c>
      <c r="N14" s="2">
        <f>$B$3+$B$4*$E14+('Станд.норм.распр.'!H14*$B$5*$S14)</f>
        <v>7598.28374892188</v>
      </c>
      <c r="O14" s="2">
        <f>$B$3+$B$4*$E14+('Станд.норм.распр.'!I14*$B$5*$S14)</f>
        <v>7473.110297797597</v>
      </c>
      <c r="P14" s="2">
        <f>$B$3+$B$4*$E14+('Станд.норм.распр.'!J14*$B$5*$S14)</f>
        <v>7451.2524389147293</v>
      </c>
      <c r="Q14" s="2">
        <f>$B$3+$B$4*$E14+('Станд.норм.распр.'!K14*$B$5*$S14)</f>
        <v>7545.7649455356877</v>
      </c>
      <c r="S14">
        <v>12</v>
      </c>
    </row>
    <row r="15" spans="1:19" x14ac:dyDescent="0.3">
      <c r="C15" s="4" t="s">
        <v>23</v>
      </c>
      <c r="D15" s="4" t="s">
        <v>5</v>
      </c>
      <c r="E15" s="4">
        <v>320</v>
      </c>
      <c r="F15" s="4" t="s">
        <v>241</v>
      </c>
      <c r="G15" s="4" t="s">
        <v>5</v>
      </c>
      <c r="H15" s="2">
        <f>$B$3+$B$4*$E15+('Станд.норм.распр.'!B15*$B$5*$S15)</f>
        <v>3551.1518377101165</v>
      </c>
      <c r="I15" s="2">
        <f>$B$3+$B$4*$E15+('Станд.норм.распр.'!C15*$B$5*$S15)</f>
        <v>3762.2960304000881</v>
      </c>
      <c r="J15" s="2">
        <f>$B$3+$B$4*$E15+('Станд.норм.распр.'!D15*$B$5*$S15)</f>
        <v>3601.6496529194992</v>
      </c>
      <c r="K15" s="2">
        <f>$B$3+$B$4*$E15+('Станд.норм.распр.'!E15*$B$5*$S15)</f>
        <v>3558.9763627380162</v>
      </c>
      <c r="L15" s="2">
        <f>$B$3+$B$4*$E15+('Станд.норм.распр.'!F15*$B$5*$S15)</f>
        <v>3335.1276420584181</v>
      </c>
      <c r="M15" s="2">
        <f>$B$3+$B$4*$E15+('Станд.норм.распр.'!G15*$B$5*$S15)</f>
        <v>3693.7073014636408</v>
      </c>
      <c r="N15" s="2">
        <f>$B$3+$B$4*$E15+('Станд.норм.распр.'!H15*$B$5*$S15)</f>
        <v>3490.1259032359822</v>
      </c>
      <c r="O15" s="2">
        <f>$B$3+$B$4*$E15+('Станд.норм.распр.'!I15*$B$5*$S15)</f>
        <v>3745.2053789460333</v>
      </c>
      <c r="P15" s="2">
        <f>$B$3+$B$4*$E15+('Станд.норм.распр.'!J15*$B$5*$S15)</f>
        <v>3512.3560269861482</v>
      </c>
      <c r="Q15" s="2">
        <f>$B$3+$B$4*$E15+('Станд.норм.распр.'!K15*$B$5*$S15)</f>
        <v>3495.9591744703939</v>
      </c>
      <c r="S15">
        <v>13</v>
      </c>
    </row>
    <row r="16" spans="1:19" x14ac:dyDescent="0.3">
      <c r="C16" s="4" t="s">
        <v>24</v>
      </c>
      <c r="D16" s="4" t="s">
        <v>5</v>
      </c>
      <c r="E16" s="4">
        <v>658</v>
      </c>
      <c r="F16" s="4" t="s">
        <v>242</v>
      </c>
      <c r="G16" s="4" t="s">
        <v>5</v>
      </c>
      <c r="H16" s="2">
        <f>$B$3+$B$4*$E16+('Станд.норм.распр.'!B16*$B$5*$S16)</f>
        <v>7252.8144934326992</v>
      </c>
      <c r="I16" s="2">
        <f>$B$3+$B$4*$E16+('Станд.норм.распр.'!C16*$B$5*$S16)</f>
        <v>7295.0559907727002</v>
      </c>
      <c r="J16" s="2">
        <f>$B$3+$B$4*$E16+('Станд.норм.распр.'!D16*$B$5*$S16)</f>
        <v>7250.3950783644104</v>
      </c>
      <c r="K16" s="2">
        <f>$B$3+$B$4*$E16+('Станд.норм.распр.'!E16*$B$5*$S16)</f>
        <v>7095.7381600524532</v>
      </c>
      <c r="L16" s="2">
        <f>$B$3+$B$4*$E16+('Станд.норм.распр.'!F16*$B$5*$S16)</f>
        <v>7476.1859510832001</v>
      </c>
      <c r="M16" s="2">
        <f>$B$3+$B$4*$E16+('Станд.норм.распр.'!G16*$B$5*$S16)</f>
        <v>7330.241505434562</v>
      </c>
      <c r="N16" s="2">
        <f>$B$3+$B$4*$E16+('Станд.норм.распр.'!H16*$B$5*$S16)</f>
        <v>7260.2036649473594</v>
      </c>
      <c r="O16" s="2">
        <f>$B$3+$B$4*$E16+('Станд.норм.распр.'!I16*$B$5*$S16)</f>
        <v>7189.209088329837</v>
      </c>
      <c r="P16" s="2">
        <f>$B$3+$B$4*$E16+('Станд.норм.распр.'!J16*$B$5*$S16)</f>
        <v>7194.3311146529159</v>
      </c>
      <c r="Q16" s="2">
        <f>$B$3+$B$4*$E16+('Станд.норм.распр.'!K16*$B$5*$S16)</f>
        <v>7402.3223120380426</v>
      </c>
      <c r="S16">
        <v>14</v>
      </c>
    </row>
    <row r="17" spans="3:19" x14ac:dyDescent="0.3">
      <c r="C17" s="4" t="s">
        <v>25</v>
      </c>
      <c r="D17" s="4" t="s">
        <v>5</v>
      </c>
      <c r="E17" s="4">
        <v>436</v>
      </c>
      <c r="F17" s="4" t="s">
        <v>243</v>
      </c>
      <c r="G17" s="4" t="s">
        <v>5</v>
      </c>
      <c r="H17" s="2">
        <f>$B$3+$B$4*$E17+('Станд.норм.распр.'!B17*$B$5*$S17)</f>
        <v>4781.5402566380362</v>
      </c>
      <c r="I17" s="2">
        <f>$B$3+$B$4*$E17+('Станд.норм.распр.'!C17*$B$5*$S17)</f>
        <v>4821.3060536932608</v>
      </c>
      <c r="J17" s="2">
        <f>$B$3+$B$4*$E17+('Станд.норм.распр.'!D17*$B$5*$S17)</f>
        <v>4779.7319879032875</v>
      </c>
      <c r="K17" s="2">
        <f>$B$3+$B$4*$E17+('Станд.норм.распр.'!E17*$B$5*$S17)</f>
        <v>4870.7349306847027</v>
      </c>
      <c r="L17" s="2">
        <f>$B$3+$B$4*$E17+('Станд.норм.распр.'!F17*$B$5*$S17)</f>
        <v>4673.0160462198546</v>
      </c>
      <c r="M17" s="2">
        <f>$B$3+$B$4*$E17+('Станд.норм.распр.'!G17*$B$5*$S17)</f>
        <v>4812.7317412332195</v>
      </c>
      <c r="N17" s="2">
        <f>$B$3+$B$4*$E17+('Станд.норм.распр.'!H17*$B$5*$S17)</f>
        <v>4821.2957707187888</v>
      </c>
      <c r="O17" s="2">
        <f>$B$3+$B$4*$E17+('Станд.норм.распр.'!I17*$B$5*$S17)</f>
        <v>4798.7768240114383</v>
      </c>
      <c r="P17" s="2">
        <f>$B$3+$B$4*$E17+('Станд.норм.распр.'!J17*$B$5*$S17)</f>
        <v>4788.1294945933041</v>
      </c>
      <c r="Q17" s="2">
        <f>$B$3+$B$4*$E17+('Станд.норм.распр.'!K17*$B$5*$S17)</f>
        <v>4792.0030457153916</v>
      </c>
      <c r="S17">
        <v>15</v>
      </c>
    </row>
    <row r="18" spans="3:19" x14ac:dyDescent="0.3">
      <c r="C18" s="4" t="s">
        <v>26</v>
      </c>
      <c r="D18" s="4" t="s">
        <v>5</v>
      </c>
      <c r="E18" s="4">
        <v>686</v>
      </c>
      <c r="F18" s="4" t="s">
        <v>244</v>
      </c>
      <c r="G18" s="4" t="s">
        <v>5</v>
      </c>
      <c r="H18" s="2">
        <f>$B$3+$B$4*$E18+('Станд.норм.распр.'!B18*$B$5*$S18)</f>
        <v>7526.6174335288815</v>
      </c>
      <c r="I18" s="2">
        <f>$B$3+$B$4*$E18+('Станд.норм.распр.'!C18*$B$5*$S18)</f>
        <v>7588.6022623186</v>
      </c>
      <c r="J18" s="2">
        <f>$B$3+$B$4*$E18+('Станд.норм.распр.'!D18*$B$5*$S18)</f>
        <v>7702.1171327820048</v>
      </c>
      <c r="K18" s="2">
        <f>$B$3+$B$4*$E18+('Станд.норм.распр.'!E18*$B$5*$S18)</f>
        <v>7579.6079236047808</v>
      </c>
      <c r="L18" s="2">
        <f>$B$3+$B$4*$E18+('Станд.норм.распр.'!F18*$B$5*$S18)</f>
        <v>7641.6387546365149</v>
      </c>
      <c r="M18" s="2">
        <f>$B$3+$B$4*$E18+('Станд.норм.распр.'!G18*$B$5*$S18)</f>
        <v>7472.1520886546932</v>
      </c>
      <c r="N18" s="2">
        <f>$B$3+$B$4*$E18+('Станд.норм.распр.'!H18*$B$5*$S18)</f>
        <v>7395.5040537714967</v>
      </c>
      <c r="O18" s="2">
        <f>$B$3+$B$4*$E18+('Станд.норм.распр.'!I18*$B$5*$S18)</f>
        <v>7640.1041460363194</v>
      </c>
      <c r="P18" s="2">
        <f>$B$3+$B$4*$E18+('Станд.норм.распр.'!J18*$B$5*$S18)</f>
        <v>7393.4093470475636</v>
      </c>
      <c r="Q18" s="2">
        <f>$B$3+$B$4*$E18+('Станд.норм.распр.'!K18*$B$5*$S18)</f>
        <v>7541.8810101714917</v>
      </c>
      <c r="S18">
        <v>16</v>
      </c>
    </row>
    <row r="19" spans="3:19" x14ac:dyDescent="0.3">
      <c r="C19" s="4" t="s">
        <v>27</v>
      </c>
      <c r="D19" s="4" t="s">
        <v>5</v>
      </c>
      <c r="E19" s="4">
        <v>797</v>
      </c>
      <c r="F19" s="4" t="s">
        <v>245</v>
      </c>
      <c r="G19" s="4" t="s">
        <v>5</v>
      </c>
      <c r="H19" s="2">
        <f>$B$3+$B$4*$E19+('Станд.норм.распр.'!B19*$B$5*$S19)</f>
        <v>8915.0040398645215</v>
      </c>
      <c r="I19" s="2">
        <f>$B$3+$B$4*$E19+('Станд.норм.распр.'!C19*$B$5*$S19)</f>
        <v>8812.0227005684283</v>
      </c>
      <c r="J19" s="2">
        <f>$B$3+$B$4*$E19+('Станд.норм.распр.'!D19*$B$5*$S19)</f>
        <v>8903.8335577252437</v>
      </c>
      <c r="K19" s="2">
        <f>$B$3+$B$4*$E19+('Станд.норм.распр.'!E19*$B$5*$S19)</f>
        <v>8871.9668960957788</v>
      </c>
      <c r="L19" s="2">
        <f>$B$3+$B$4*$E19+('Станд.норм.распр.'!F19*$B$5*$S19)</f>
        <v>8496.3841681668127</v>
      </c>
      <c r="M19" s="2">
        <f>$B$3+$B$4*$E19+('Станд.норм.распр.'!G19*$B$5*$S19)</f>
        <v>8947.20188489469</v>
      </c>
      <c r="N19" s="2">
        <f>$B$3+$B$4*$E19+('Станд.норм.распр.'!H19*$B$5*$S19)</f>
        <v>8688.6251051971922</v>
      </c>
      <c r="O19" s="2">
        <f>$B$3+$B$4*$E19+('Станд.норм.распр.'!I19*$B$5*$S19)</f>
        <v>8761.5241895955987</v>
      </c>
      <c r="P19" s="2">
        <f>$B$3+$B$4*$E19+('Станд.норм.распр.'!J19*$B$5*$S19)</f>
        <v>8645.3219532823423</v>
      </c>
      <c r="Q19" s="2">
        <f>$B$3+$B$4*$E19+('Станд.норм.распр.'!K19*$B$5*$S19)</f>
        <v>8845.1121664557431</v>
      </c>
      <c r="S19">
        <v>17</v>
      </c>
    </row>
    <row r="20" spans="3:19" x14ac:dyDescent="0.3">
      <c r="C20" s="4" t="s">
        <v>28</v>
      </c>
      <c r="D20" s="4" t="s">
        <v>5</v>
      </c>
      <c r="E20" s="4">
        <v>464</v>
      </c>
      <c r="F20" s="4" t="s">
        <v>246</v>
      </c>
      <c r="G20" s="4" t="s">
        <v>5</v>
      </c>
      <c r="H20" s="2">
        <f>$B$3+$B$4*$E20+('Станд.норм.распр.'!B20*$B$5*$S20)</f>
        <v>5005.4469201837201</v>
      </c>
      <c r="I20" s="2">
        <f>$B$3+$B$4*$E20+('Станд.норм.распр.'!C20*$B$5*$S20)</f>
        <v>5138.5838750844123</v>
      </c>
      <c r="J20" s="2">
        <f>$B$3+$B$4*$E20+('Станд.норм.распр.'!D20*$B$5*$S20)</f>
        <v>5103.6365570849448</v>
      </c>
      <c r="K20" s="2">
        <f>$B$3+$B$4*$E20+('Станд.норм.распр.'!E20*$B$5*$S20)</f>
        <v>5174.0413513994718</v>
      </c>
      <c r="L20" s="2">
        <f>$B$3+$B$4*$E20+('Станд.норм.распр.'!F20*$B$5*$S20)</f>
        <v>4869.9562384695746</v>
      </c>
      <c r="M20" s="2">
        <f>$B$3+$B$4*$E20+('Станд.норм.распр.'!G20*$B$5*$S20)</f>
        <v>5124.2412436818704</v>
      </c>
      <c r="N20" s="2">
        <f>$B$3+$B$4*$E20+('Станд.норм.распр.'!H20*$B$5*$S20)</f>
        <v>5436.3800436090678</v>
      </c>
      <c r="O20" s="2">
        <f>$B$3+$B$4*$E20+('Станд.норм.распр.'!I20*$B$5*$S20)</f>
        <v>5099.4633883943316</v>
      </c>
      <c r="P20" s="2">
        <f>$B$3+$B$4*$E20+('Станд.норм.распр.'!J20*$B$5*$S20)</f>
        <v>5122.034302492073</v>
      </c>
      <c r="Q20" s="2">
        <f>$B$3+$B$4*$E20+('Станд.норм.распр.'!K20*$B$5*$S20)</f>
        <v>5006.4856540826149</v>
      </c>
      <c r="S20">
        <v>18</v>
      </c>
    </row>
    <row r="21" spans="3:19" x14ac:dyDescent="0.3">
      <c r="C21" s="4" t="s">
        <v>29</v>
      </c>
      <c r="D21" s="4" t="s">
        <v>5</v>
      </c>
      <c r="E21" s="4">
        <v>514</v>
      </c>
      <c r="F21" s="4" t="s">
        <v>247</v>
      </c>
      <c r="G21" s="4" t="s">
        <v>5</v>
      </c>
      <c r="H21" s="2">
        <f>$B$3+$B$4*$E21+('Станд.норм.распр.'!B21*$B$5*$S21)</f>
        <v>5540.2536975037656</v>
      </c>
      <c r="I21" s="2">
        <f>$B$3+$B$4*$E21+('Станд.норм.распр.'!C21*$B$5*$S21)</f>
        <v>5387.0660678825225</v>
      </c>
      <c r="J21" s="2">
        <f>$B$3+$B$4*$E21+('Станд.норм.распр.'!D21*$B$5*$S21)</f>
        <v>5751.1195848149946</v>
      </c>
      <c r="K21" s="2">
        <f>$B$3+$B$4*$E21+('Станд.норм.распр.'!E21*$B$5*$S21)</f>
        <v>5699.9394916914462</v>
      </c>
      <c r="L21" s="2">
        <f>$B$3+$B$4*$E21+('Станд.норм.распр.'!F21*$B$5*$S21)</f>
        <v>5747.2832065599214</v>
      </c>
      <c r="M21" s="2">
        <f>$B$3+$B$4*$E21+('Станд.норм.распр.'!G21*$B$5*$S21)</f>
        <v>5707.6013615500124</v>
      </c>
      <c r="N21" s="2">
        <f>$B$3+$B$4*$E21+('Станд.норм.распр.'!H21*$B$5*$S21)</f>
        <v>5636.71318294297</v>
      </c>
      <c r="O21" s="2">
        <f>$B$3+$B$4*$E21+('Станд.норм.распр.'!I21*$B$5*$S21)</f>
        <v>5616.3865792626602</v>
      </c>
      <c r="P21" s="2">
        <f>$B$3+$B$4*$E21+('Станд.норм.распр.'!J21*$B$5*$S21)</f>
        <v>5815.9919751545822</v>
      </c>
      <c r="Q21" s="2">
        <f>$B$3+$B$4*$E21+('Станд.норм.распр.'!K21*$B$5*$S21)</f>
        <v>5939.2549212446893</v>
      </c>
      <c r="S21">
        <v>19</v>
      </c>
    </row>
    <row r="22" spans="3:19" x14ac:dyDescent="0.3">
      <c r="C22" s="4" t="s">
        <v>30</v>
      </c>
      <c r="D22" s="4" t="s">
        <v>5</v>
      </c>
      <c r="E22" s="4">
        <v>724</v>
      </c>
      <c r="F22" s="4" t="s">
        <v>248</v>
      </c>
      <c r="G22" s="4" t="s">
        <v>5</v>
      </c>
      <c r="H22" s="2">
        <f>$B$3+$B$4*$E22+('Станд.норм.распр.'!B22*$B$5*$S22)</f>
        <v>7893.9918843361083</v>
      </c>
      <c r="I22" s="2">
        <f>$B$3+$B$4*$E22+('Станд.норм.распр.'!C22*$B$5*$S22)</f>
        <v>8138.6235400686273</v>
      </c>
      <c r="J22" s="2">
        <f>$B$3+$B$4*$E22+('Станд.норм.распр.'!D22*$B$5*$S22)</f>
        <v>7869.5472588123521</v>
      </c>
      <c r="K22" s="2">
        <f>$B$3+$B$4*$E22+('Станд.норм.распр.'!E22*$B$5*$S22)</f>
        <v>7948.0158696214203</v>
      </c>
      <c r="L22" s="2">
        <f>$B$3+$B$4*$E22+('Станд.норм.распр.'!F22*$B$5*$S22)</f>
        <v>7667.5202066301144</v>
      </c>
      <c r="M22" s="2">
        <f>$B$3+$B$4*$E22+('Станд.норм.распр.'!G22*$B$5*$S22)</f>
        <v>8133.2612502564443</v>
      </c>
      <c r="N22" s="2">
        <f>$B$3+$B$4*$E22+('Станд.норм.распр.'!H22*$B$5*$S22)</f>
        <v>7947.1778839405742</v>
      </c>
      <c r="O22" s="2">
        <f>$B$3+$B$4*$E22+('Станд.норм.распр.'!I22*$B$5*$S22)</f>
        <v>7962.0960754227126</v>
      </c>
      <c r="P22" s="2">
        <f>$B$3+$B$4*$E22+('Станд.норм.распр.'!J22*$B$5*$S22)</f>
        <v>7831.0629454762675</v>
      </c>
      <c r="Q22" s="2">
        <f>$B$3+$B$4*$E22+('Станд.норм.распр.'!K22*$B$5*$S22)</f>
        <v>8114.8660832667956</v>
      </c>
      <c r="S22">
        <v>20</v>
      </c>
    </row>
    <row r="23" spans="3:19" x14ac:dyDescent="0.3">
      <c r="C23" s="4" t="s">
        <v>31</v>
      </c>
      <c r="D23" s="4" t="s">
        <v>5</v>
      </c>
      <c r="E23" s="4">
        <v>63</v>
      </c>
      <c r="F23" s="4" t="s">
        <v>249</v>
      </c>
      <c r="G23" s="4" t="s">
        <v>5</v>
      </c>
      <c r="H23" s="2">
        <f>$B$3+$B$4*$E23+('Станд.норм.распр.'!B23*$B$5*$S23)</f>
        <v>804.2931456999504</v>
      </c>
      <c r="I23" s="2">
        <f>$B$3+$B$4*$E23+('Станд.норм.распр.'!C23*$B$5*$S23)</f>
        <v>836.89852393729961</v>
      </c>
      <c r="J23" s="2">
        <f>$B$3+$B$4*$E23+('Станд.норм.распр.'!D23*$B$5*$S23)</f>
        <v>583.47339025897963</v>
      </c>
      <c r="K23" s="2">
        <f>$B$3+$B$4*$E23+('Станд.норм.распр.'!E23*$B$5*$S23)</f>
        <v>574.52606673690025</v>
      </c>
      <c r="L23" s="2">
        <f>$B$3+$B$4*$E23+('Станд.норм.распр.'!F23*$B$5*$S23)</f>
        <v>791.66104873150471</v>
      </c>
      <c r="M23" s="2">
        <f>$B$3+$B$4*$E23+('Станд.норм.распр.'!G23*$B$5*$S23)</f>
        <v>785.14109039827599</v>
      </c>
      <c r="N23" s="2">
        <f>$B$3+$B$4*$E23+('Станд.норм.распр.'!H23*$B$5*$S23)</f>
        <v>649.72647199977655</v>
      </c>
      <c r="O23" s="2">
        <f>$B$3+$B$4*$E23+('Станд.норм.распр.'!I23*$B$5*$S23)</f>
        <v>394.58260820322903</v>
      </c>
      <c r="P23" s="2">
        <f>$B$3+$B$4*$E23+('Станд.норм.распр.'!J23*$B$5*$S23)</f>
        <v>653.81584212230518</v>
      </c>
      <c r="Q23" s="2">
        <f>$B$3+$B$4*$E23+('Станд.норм.распр.'!K23*$B$5*$S23)</f>
        <v>517.98437956461567</v>
      </c>
      <c r="S23">
        <v>21</v>
      </c>
    </row>
    <row r="24" spans="3:19" x14ac:dyDescent="0.3">
      <c r="C24" s="4" t="s">
        <v>32</v>
      </c>
      <c r="D24" s="4" t="s">
        <v>5</v>
      </c>
      <c r="E24" s="4">
        <v>298</v>
      </c>
      <c r="F24" s="4" t="s">
        <v>250</v>
      </c>
      <c r="G24" s="4" t="s">
        <v>5</v>
      </c>
      <c r="H24" s="2">
        <f>$B$3+$B$4*$E24+('Станд.норм.распр.'!B24*$B$5*$S24)</f>
        <v>3417.8664315173519</v>
      </c>
      <c r="I24" s="2">
        <f>$B$3+$B$4*$E24+('Станд.норм.распр.'!C24*$B$5*$S24)</f>
        <v>3386.2540714277129</v>
      </c>
      <c r="J24" s="2">
        <f>$B$3+$B$4*$E24+('Станд.норм.распр.'!D24*$B$5*$S24)</f>
        <v>3000.7485917290905</v>
      </c>
      <c r="K24" s="2">
        <f>$B$3+$B$4*$E24+('Станд.норм.распр.'!E24*$B$5*$S24)</f>
        <v>3557.8061112015275</v>
      </c>
      <c r="L24" s="2">
        <f>$B$3+$B$4*$E24+('Станд.норм.распр.'!F24*$B$5*$S24)</f>
        <v>3341.0186630486278</v>
      </c>
      <c r="M24" s="2">
        <f>$B$3+$B$4*$E24+('Станд.норм.распр.'!G24*$B$5*$S24)</f>
        <v>3356.6802163828397</v>
      </c>
      <c r="N24" s="2">
        <f>$B$3+$B$4*$E24+('Станд.норм.распр.'!H24*$B$5*$S24)</f>
        <v>3220.6204953016727</v>
      </c>
      <c r="O24" s="2">
        <f>$B$3+$B$4*$E24+('Станд.норм.распр.'!I24*$B$5*$S24)</f>
        <v>2833.912620770745</v>
      </c>
      <c r="P24" s="2">
        <f>$B$3+$B$4*$E24+('Станд.норм.распр.'!J24*$B$5*$S24)</f>
        <v>3254.9249145982612</v>
      </c>
      <c r="Q24" s="2">
        <f>$B$3+$B$4*$E24+('Станд.норм.распр.'!K24*$B$5*$S24)</f>
        <v>3530.6770665907534</v>
      </c>
      <c r="S24">
        <v>22</v>
      </c>
    </row>
    <row r="25" spans="3:19" x14ac:dyDescent="0.3">
      <c r="C25" s="4" t="s">
        <v>33</v>
      </c>
      <c r="D25" s="4" t="s">
        <v>5</v>
      </c>
      <c r="E25" s="4">
        <v>689</v>
      </c>
      <c r="F25" s="4" t="s">
        <v>251</v>
      </c>
      <c r="G25" s="4" t="s">
        <v>5</v>
      </c>
      <c r="H25" s="2">
        <f>$B$3+$B$4*$E25+('Станд.норм.распр.'!B25*$B$5*$S25)</f>
        <v>7421.0219074331399</v>
      </c>
      <c r="I25" s="2">
        <f>$B$3+$B$4*$E25+('Станд.норм.распр.'!C25*$B$5*$S25)</f>
        <v>7781.9770464913454</v>
      </c>
      <c r="J25" s="2">
        <f>$B$3+$B$4*$E25+('Станд.норм.распр.'!D25*$B$5*$S25)</f>
        <v>7808.0583941329387</v>
      </c>
      <c r="K25" s="2">
        <f>$B$3+$B$4*$E25+('Станд.норм.распр.'!E25*$B$5*$S25)</f>
        <v>7523.2883804830344</v>
      </c>
      <c r="L25" s="2">
        <f>$B$3+$B$4*$E25+('Станд.норм.распр.'!F25*$B$5*$S25)</f>
        <v>7893.6193719556904</v>
      </c>
      <c r="M25" s="2">
        <f>$B$3+$B$4*$E25+('Станд.норм.распр.'!G25*$B$5*$S25)</f>
        <v>7625.2997539115022</v>
      </c>
      <c r="N25" s="2">
        <f>$B$3+$B$4*$E25+('Станд.норм.распр.'!H25*$B$5*$S25)</f>
        <v>7744.3522056484362</v>
      </c>
      <c r="O25" s="2">
        <f>$B$3+$B$4*$E25+('Станд.норм.распр.'!I25*$B$5*$S25)</f>
        <v>7789.8987839973124</v>
      </c>
      <c r="P25" s="2">
        <f>$B$3+$B$4*$E25+('Станд.норм.распр.'!J25*$B$5*$S25)</f>
        <v>7615.8984145454588</v>
      </c>
      <c r="Q25" s="2">
        <f>$B$3+$B$4*$E25+('Станд.норм.распр.'!K25*$B$5*$S25)</f>
        <v>7299.5196521361941</v>
      </c>
      <c r="S25">
        <v>23</v>
      </c>
    </row>
    <row r="26" spans="3:19" x14ac:dyDescent="0.3">
      <c r="C26" s="4" t="s">
        <v>34</v>
      </c>
      <c r="D26" s="4" t="s">
        <v>5</v>
      </c>
      <c r="E26" s="4">
        <v>278</v>
      </c>
      <c r="F26" s="4" t="s">
        <v>252</v>
      </c>
      <c r="G26" s="4" t="s">
        <v>5</v>
      </c>
      <c r="H26" s="2">
        <f>$B$3+$B$4*$E26+('Станд.норм.распр.'!B26*$B$5*$S26)</f>
        <v>2926.6887400152627</v>
      </c>
      <c r="I26" s="2">
        <f>$B$3+$B$4*$E26+('Станд.норм.распр.'!C26*$B$5*$S26)</f>
        <v>3141.741527113365</v>
      </c>
      <c r="J26" s="2">
        <f>$B$3+$B$4*$E26+('Станд.норм.распр.'!D26*$B$5*$S26)</f>
        <v>3258.5291051217355</v>
      </c>
      <c r="K26" s="2">
        <f>$B$3+$B$4*$E26+('Станд.норм.распр.'!E26*$B$5*$S26)</f>
        <v>3330.6064329079818</v>
      </c>
      <c r="L26" s="2">
        <f>$B$3+$B$4*$E26+('Станд.норм.распр.'!F26*$B$5*$S26)</f>
        <v>3156.2526151245693</v>
      </c>
      <c r="M26" s="2">
        <f>$B$3+$B$4*$E26+('Станд.норм.распр.'!G26*$B$5*$S26)</f>
        <v>3047.8999001642223</v>
      </c>
      <c r="N26" s="2">
        <f>$B$3+$B$4*$E26+('Станд.норм.распр.'!H26*$B$5*$S26)</f>
        <v>3304.5919194845483</v>
      </c>
      <c r="O26" s="2">
        <f>$B$3+$B$4*$E26+('Станд.норм.распр.'!I26*$B$5*$S26)</f>
        <v>2912.2481287484989</v>
      </c>
      <c r="P26" s="2">
        <f>$B$3+$B$4*$E26+('Станд.норм.распр.'!J26*$B$5*$S26)</f>
        <v>3070.7029332260136</v>
      </c>
      <c r="Q26" s="2">
        <f>$B$3+$B$4*$E26+('Станд.норм.распр.'!K26*$B$5*$S26)</f>
        <v>3339.6996518857777</v>
      </c>
      <c r="S26">
        <v>24</v>
      </c>
    </row>
    <row r="27" spans="3:19" x14ac:dyDescent="0.3">
      <c r="C27" s="4" t="s">
        <v>35</v>
      </c>
      <c r="D27" s="4" t="s">
        <v>5</v>
      </c>
      <c r="E27" s="4">
        <v>701</v>
      </c>
      <c r="F27" s="4" t="s">
        <v>253</v>
      </c>
      <c r="G27" s="4" t="s">
        <v>5</v>
      </c>
      <c r="H27" s="2">
        <f>$B$3+$B$4*$E27+('Станд.норм.распр.'!B27*$B$5*$S27)</f>
        <v>7811.7054268383072</v>
      </c>
      <c r="I27" s="2">
        <f>$B$3+$B$4*$E27+('Станд.норм.распр.'!C27*$B$5*$S27)</f>
        <v>7434.2199919279665</v>
      </c>
      <c r="J27" s="2">
        <f>$B$3+$B$4*$E27+('Станд.норм.распр.'!D27*$B$5*$S27)</f>
        <v>7825.5398644338129</v>
      </c>
      <c r="K27" s="2">
        <f>$B$3+$B$4*$E27+('Станд.норм.распр.'!E27*$B$5*$S27)</f>
        <v>7622.134443926916</v>
      </c>
      <c r="L27" s="2">
        <f>$B$3+$B$4*$E27+('Станд.норм.распр.'!F27*$B$5*$S27)</f>
        <v>7892.6549459261878</v>
      </c>
      <c r="M27" s="2">
        <f>$B$3+$B$4*$E27+('Станд.норм.распр.'!G27*$B$5*$S27)</f>
        <v>7764.0167258501606</v>
      </c>
      <c r="N27" s="2">
        <f>$B$3+$B$4*$E27+('Станд.норм.распр.'!H27*$B$5*$S27)</f>
        <v>7428.7792240917042</v>
      </c>
      <c r="O27" s="2">
        <f>$B$3+$B$4*$E27+('Станд.норм.распр.'!I27*$B$5*$S27)</f>
        <v>7381.7123616841855</v>
      </c>
      <c r="P27" s="2">
        <f>$B$3+$B$4*$E27+('Станд.норм.распр.'!J27*$B$5*$S27)</f>
        <v>7684.5321469314513</v>
      </c>
      <c r="Q27" s="2">
        <f>$B$3+$B$4*$E27+('Станд.норм.распр.'!K27*$B$5*$S27)</f>
        <v>7564.6413616319478</v>
      </c>
      <c r="S27">
        <v>25</v>
      </c>
    </row>
    <row r="28" spans="3:19" x14ac:dyDescent="0.3">
      <c r="C28" s="4" t="s">
        <v>36</v>
      </c>
      <c r="D28" s="4" t="s">
        <v>5</v>
      </c>
      <c r="E28" s="4">
        <v>219</v>
      </c>
      <c r="F28" s="4" t="s">
        <v>254</v>
      </c>
      <c r="G28" s="4" t="s">
        <v>5</v>
      </c>
      <c r="H28" s="2">
        <f>$B$3+$B$4*$E28+('Станд.норм.распр.'!B28*$B$5*$S28)</f>
        <v>2547.254920592648</v>
      </c>
      <c r="I28" s="2">
        <f>$B$3+$B$4*$E28+('Станд.норм.распр.'!C28*$B$5*$S28)</f>
        <v>2693.5347651499324</v>
      </c>
      <c r="J28" s="2">
        <f>$B$3+$B$4*$E28+('Станд.норм.распр.'!D28*$B$5*$S28)</f>
        <v>2433.7709092844743</v>
      </c>
      <c r="K28" s="2">
        <f>$B$3+$B$4*$E28+('Станд.норм.распр.'!E28*$B$5*$S28)</f>
        <v>2463.1413763029268</v>
      </c>
      <c r="L28" s="2">
        <f>$B$3+$B$4*$E28+('Станд.норм.распр.'!F28*$B$5*$S28)</f>
        <v>2568.4360062780324</v>
      </c>
      <c r="M28" s="2">
        <f>$B$3+$B$4*$E28+('Станд.норм.распр.'!G28*$B$5*$S28)</f>
        <v>2549.6938579647103</v>
      </c>
      <c r="N28" s="2">
        <f>$B$3+$B$4*$E28+('Станд.норм.распр.'!H28*$B$5*$S28)</f>
        <v>2439.8320730153937</v>
      </c>
      <c r="O28" s="2">
        <f>$B$3+$B$4*$E28+('Станд.норм.распр.'!I28*$B$5*$S28)</f>
        <v>2164.99724420032</v>
      </c>
      <c r="P28" s="2">
        <f>$B$3+$B$4*$E28+('Станд.норм.распр.'!J28*$B$5*$S28)</f>
        <v>2487.3586304249766</v>
      </c>
      <c r="Q28" s="2">
        <f>$B$3+$B$4*$E28+('Станд.норм.распр.'!K28*$B$5*$S28)</f>
        <v>2396.2791638962226</v>
      </c>
      <c r="S28">
        <v>26</v>
      </c>
    </row>
    <row r="29" spans="3:19" x14ac:dyDescent="0.3">
      <c r="C29" s="4" t="s">
        <v>37</v>
      </c>
      <c r="D29" s="4" t="s">
        <v>5</v>
      </c>
      <c r="E29" s="4">
        <v>666</v>
      </c>
      <c r="F29" s="4" t="s">
        <v>255</v>
      </c>
      <c r="G29" s="4" t="s">
        <v>5</v>
      </c>
      <c r="H29" s="2">
        <f>$B$3+$B$4*$E29+('Станд.норм.распр.'!B29*$B$5*$S29)</f>
        <v>7442.9832833410183</v>
      </c>
      <c r="I29" s="2">
        <f>$B$3+$B$4*$E29+('Станд.норм.распр.'!C29*$B$5*$S29)</f>
        <v>7588.2562967998092</v>
      </c>
      <c r="J29" s="2">
        <f>$B$3+$B$4*$E29+('Станд.норм.распр.'!D29*$B$5*$S29)</f>
        <v>7146.778919264616</v>
      </c>
      <c r="K29" s="2">
        <f>$B$3+$B$4*$E29+('Станд.норм.распр.'!E29*$B$5*$S29)</f>
        <v>6975.7823238213314</v>
      </c>
      <c r="L29" s="2">
        <f>$B$3+$B$4*$E29+('Станд.норм.распр.'!F29*$B$5*$S29)</f>
        <v>7516.4383455338248</v>
      </c>
      <c r="M29" s="2">
        <f>$B$3+$B$4*$E29+('Станд.норм.распр.'!G29*$B$5*$S29)</f>
        <v>7534.0382549037167</v>
      </c>
      <c r="N29" s="2">
        <f>$B$3+$B$4*$E29+('Станд.норм.распр.'!H29*$B$5*$S29)</f>
        <v>7216.138165291195</v>
      </c>
      <c r="O29" s="2">
        <f>$B$3+$B$4*$E29+('Станд.норм.распр.'!I29*$B$5*$S29)</f>
        <v>7442.9628401738591</v>
      </c>
      <c r="P29" s="2">
        <f>$B$3+$B$4*$E29+('Станд.норм.распр.'!J29*$B$5*$S29)</f>
        <v>7223.887230680557</v>
      </c>
      <c r="Q29" s="2">
        <f>$B$3+$B$4*$E29+('Станд.норм.распр.'!K29*$B$5*$S29)</f>
        <v>7459.5416962218587</v>
      </c>
      <c r="S29">
        <v>27</v>
      </c>
    </row>
    <row r="30" spans="3:19" x14ac:dyDescent="0.3">
      <c r="C30" s="4" t="s">
        <v>38</v>
      </c>
      <c r="D30" s="4" t="s">
        <v>5</v>
      </c>
      <c r="E30" s="4">
        <v>92</v>
      </c>
      <c r="F30" s="4" t="s">
        <v>256</v>
      </c>
      <c r="G30" s="4" t="s">
        <v>5</v>
      </c>
      <c r="H30" s="2">
        <f>$B$3+$B$4*$E30+('Станд.норм.распр.'!B30*$B$5*$S30)</f>
        <v>901.57359418133274</v>
      </c>
      <c r="I30" s="2">
        <f>$B$3+$B$4*$E30+('Станд.норм.распр.'!C30*$B$5*$S30)</f>
        <v>1316.0702475017169</v>
      </c>
      <c r="J30" s="2">
        <f>$B$3+$B$4*$E30+('Станд.норм.распр.'!D30*$B$5*$S30)</f>
        <v>837.79328642610926</v>
      </c>
      <c r="K30" s="2">
        <f>$B$3+$B$4*$E30+('Станд.норм.распр.'!E30*$B$5*$S30)</f>
        <v>1100.7715284887818</v>
      </c>
      <c r="L30" s="2">
        <f>$B$3+$B$4*$E30+('Станд.норм.распр.'!F30*$B$5*$S30)</f>
        <v>1218.0502745633712</v>
      </c>
      <c r="M30" s="2">
        <f>$B$3+$B$4*$E30+('Станд.норм.распр.'!G30*$B$5*$S30)</f>
        <v>1232.1960458377143</v>
      </c>
      <c r="N30" s="2">
        <f>$B$3+$B$4*$E30+('Станд.норм.распр.'!H30*$B$5*$S30)</f>
        <v>1189.5106309549883</v>
      </c>
      <c r="O30" s="2">
        <f>$B$3+$B$4*$E30+('Станд.норм.распр.'!I30*$B$5*$S30)</f>
        <v>1464.0547943583224</v>
      </c>
      <c r="P30" s="2">
        <f>$B$3+$B$4*$E30+('Станд.норм.распр.'!J30*$B$5*$S30)</f>
        <v>996.89367752778344</v>
      </c>
      <c r="Q30" s="2">
        <f>$B$3+$B$4*$E30+('Станд.норм.распр.'!K30*$B$5*$S30)</f>
        <v>1353.9529300925788</v>
      </c>
      <c r="S30">
        <v>28</v>
      </c>
    </row>
    <row r="31" spans="3:19" x14ac:dyDescent="0.3">
      <c r="C31" s="4" t="s">
        <v>39</v>
      </c>
      <c r="D31" s="4" t="s">
        <v>5</v>
      </c>
      <c r="E31" s="4">
        <v>250</v>
      </c>
      <c r="F31" s="4" t="s">
        <v>257</v>
      </c>
      <c r="G31" s="4" t="s">
        <v>5</v>
      </c>
      <c r="H31" s="2">
        <f>$B$3+$B$4*$E31+('Станд.норм.распр.'!B31*$B$5*$S31)</f>
        <v>2836.842739200496</v>
      </c>
      <c r="I31" s="2">
        <f>$B$3+$B$4*$E31+('Станд.норм.распр.'!C31*$B$5*$S31)</f>
        <v>3116.406805177452</v>
      </c>
      <c r="J31" s="2">
        <f>$B$3+$B$4*$E31+('Станд.норм.распр.'!D31*$B$5*$S31)</f>
        <v>3529.5159424757585</v>
      </c>
      <c r="K31" s="2">
        <f>$B$3+$B$4*$E31+('Станд.норм.распр.'!E31*$B$5*$S31)</f>
        <v>2434.5494390880631</v>
      </c>
      <c r="L31" s="2">
        <f>$B$3+$B$4*$E31+('Станд.норм.распр.'!F31*$B$5*$S31)</f>
        <v>2392.3883253003892</v>
      </c>
      <c r="M31" s="2">
        <f>$B$3+$B$4*$E31+('Станд.норм.распр.'!G31*$B$5*$S31)</f>
        <v>2651.3100798846281</v>
      </c>
      <c r="N31" s="2">
        <f>$B$3+$B$4*$E31+('Станд.норм.распр.'!H31*$B$5*$S31)</f>
        <v>2838.0892710382468</v>
      </c>
      <c r="O31" s="2">
        <f>$B$3+$B$4*$E31+('Станд.норм.распр.'!I31*$B$5*$S31)</f>
        <v>2823.9726911332255</v>
      </c>
      <c r="P31" s="2">
        <f>$B$3+$B$4*$E31+('Станд.норм.распр.'!J31*$B$5*$S31)</f>
        <v>2936.5418451314908</v>
      </c>
      <c r="Q31" s="2">
        <f>$B$3+$B$4*$E31+('Станд.норм.распр.'!K31*$B$5*$S31)</f>
        <v>2630.3718463376426</v>
      </c>
      <c r="S31">
        <v>29</v>
      </c>
    </row>
    <row r="32" spans="3:19" x14ac:dyDescent="0.3">
      <c r="C32" s="4" t="s">
        <v>40</v>
      </c>
      <c r="D32" s="4" t="s">
        <v>5</v>
      </c>
      <c r="E32" s="4">
        <v>252</v>
      </c>
      <c r="F32" s="4" t="s">
        <v>258</v>
      </c>
      <c r="G32" s="4" t="s">
        <v>5</v>
      </c>
      <c r="H32" s="2">
        <f>$B$3+$B$4*$E32+('Станд.норм.распр.'!B32*$B$5*$S32)</f>
        <v>3406.5342288012616</v>
      </c>
      <c r="I32" s="2">
        <f>$B$3+$B$4*$E32+('Станд.норм.распр.'!C32*$B$5*$S32)</f>
        <v>2458.9025724562234</v>
      </c>
      <c r="J32" s="2">
        <f>$B$3+$B$4*$E32+('Станд.норм.распр.'!D32*$B$5*$S32)</f>
        <v>2726.3532228825497</v>
      </c>
      <c r="K32" s="2">
        <f>$B$3+$B$4*$E32+('Станд.норм.распр.'!E32*$B$5*$S32)</f>
        <v>3149.4819677245105</v>
      </c>
      <c r="L32" s="2">
        <f>$B$3+$B$4*$E32+('Станд.норм.распр.'!F32*$B$5*$S32)</f>
        <v>2864.5812630965665</v>
      </c>
      <c r="M32" s="2">
        <f>$B$3+$B$4*$E32+('Станд.норм.распр.'!G32*$B$5*$S32)</f>
        <v>2864.4520352681284</v>
      </c>
      <c r="N32" s="2">
        <f>$B$3+$B$4*$E32+('Станд.норм.распр.'!H32*$B$5*$S32)</f>
        <v>2804.9661022886867</v>
      </c>
      <c r="O32" s="2">
        <f>$B$3+$B$4*$E32+('Станд.норм.распр.'!I32*$B$5*$S32)</f>
        <v>2518.6549419085495</v>
      </c>
      <c r="P32" s="2">
        <f>$B$3+$B$4*$E32+('Станд.норм.распр.'!J32*$B$5*$S32)</f>
        <v>3001.5127276637359</v>
      </c>
      <c r="Q32" s="2">
        <f>$B$3+$B$4*$E32+('Станд.норм.распр.'!K32*$B$5*$S32)</f>
        <v>2399.8402366341325</v>
      </c>
      <c r="S32">
        <v>30</v>
      </c>
    </row>
    <row r="33" spans="3:19" x14ac:dyDescent="0.3">
      <c r="C33" s="4" t="s">
        <v>41</v>
      </c>
      <c r="D33" s="4" t="s">
        <v>5</v>
      </c>
      <c r="E33" s="4">
        <v>110</v>
      </c>
      <c r="F33" s="4" t="s">
        <v>259</v>
      </c>
      <c r="G33" s="4" t="s">
        <v>5</v>
      </c>
      <c r="H33" s="2">
        <f>$B$3+$B$4*$E33+('Станд.норм.распр.'!B33*$B$5*$S33)</f>
        <v>1251.9954952020489</v>
      </c>
      <c r="I33" s="2">
        <f>$B$3+$B$4*$E33+('Станд.норм.распр.'!C33*$B$5*$S33)</f>
        <v>752.54700495663565</v>
      </c>
      <c r="J33" s="2">
        <f>$B$3+$B$4*$E33+('Станд.норм.распр.'!D33*$B$5*$S33)</f>
        <v>1853.2518992268015</v>
      </c>
      <c r="K33" s="2">
        <f>$B$3+$B$4*$E33+('Станд.норм.распр.'!E33*$B$5*$S33)</f>
        <v>945.71471654291963</v>
      </c>
      <c r="L33" s="2">
        <f>$B$3+$B$4*$E33+('Станд.норм.распр.'!F33*$B$5*$S33)</f>
        <v>1011.2872700099833</v>
      </c>
      <c r="M33" s="2">
        <f>$B$3+$B$4*$E33+('Станд.норм.распр.'!G33*$B$5*$S33)</f>
        <v>1525.9213704646972</v>
      </c>
      <c r="N33" s="2">
        <f>$B$3+$B$4*$E33+('Станд.норм.распр.'!H33*$B$5*$S33)</f>
        <v>1226.059807684418</v>
      </c>
      <c r="O33" s="2">
        <f>$B$3+$B$4*$E33+('Станд.норм.распр.'!I33*$B$5*$S33)</f>
        <v>1228.7704816097394</v>
      </c>
      <c r="P33" s="2">
        <f>$B$3+$B$4*$E33+('Станд.норм.распр.'!J33*$B$5*$S33)</f>
        <v>1092.5484911220556</v>
      </c>
      <c r="Q33" s="2">
        <f>$B$3+$B$4*$E33+('Станд.норм.распр.'!K33*$B$5*$S33)</f>
        <v>468.5485622738488</v>
      </c>
      <c r="S33">
        <v>31</v>
      </c>
    </row>
    <row r="34" spans="3:19" x14ac:dyDescent="0.3">
      <c r="C34" s="4" t="s">
        <v>42</v>
      </c>
      <c r="D34" s="4" t="s">
        <v>5</v>
      </c>
      <c r="E34" s="4">
        <v>185</v>
      </c>
      <c r="F34" s="4" t="s">
        <v>260</v>
      </c>
      <c r="G34" s="4" t="s">
        <v>5</v>
      </c>
      <c r="H34" s="2">
        <f>$B$3+$B$4*$E34+('Станд.норм.распр.'!B34*$B$5*$S34)</f>
        <v>2256.6806413242593</v>
      </c>
      <c r="I34" s="2">
        <f>$B$3+$B$4*$E34+('Станд.норм.распр.'!C34*$B$5*$S34)</f>
        <v>2227.5437052603811</v>
      </c>
      <c r="J34" s="2">
        <f>$B$3+$B$4*$E34+('Станд.норм.распр.'!D34*$B$5*$S34)</f>
        <v>1909.9258909709752</v>
      </c>
      <c r="K34" s="2">
        <f>$B$3+$B$4*$E34+('Станд.норм.распр.'!E34*$B$5*$S34)</f>
        <v>2034.2213295525871</v>
      </c>
      <c r="L34" s="2">
        <f>$B$3+$B$4*$E34+('Станд.норм.распр.'!F34*$B$5*$S34)</f>
        <v>2148.1146953310817</v>
      </c>
      <c r="M34" s="2">
        <f>$B$3+$B$4*$E34+('Станд.норм.распр.'!G34*$B$5*$S34)</f>
        <v>2641.6346057094634</v>
      </c>
      <c r="N34" s="2">
        <f>$B$3+$B$4*$E34+('Станд.норм.распр.'!H34*$B$5*$S34)</f>
        <v>1061.9470825195313</v>
      </c>
      <c r="O34" s="2">
        <f>$B$3+$B$4*$E34+('Станд.норм.распр.'!I34*$B$5*$S34)</f>
        <v>2003.1464057983831</v>
      </c>
      <c r="P34" s="2">
        <f>$B$3+$B$4*$E34+('Станд.норм.распр.'!J34*$B$5*$S34)</f>
        <v>1514.3995963744819</v>
      </c>
      <c r="Q34" s="2">
        <f>$B$3+$B$4*$E34+('Станд.норм.распр.'!K34*$B$5*$S34)</f>
        <v>2042.2689388515428</v>
      </c>
      <c r="S34">
        <v>32</v>
      </c>
    </row>
    <row r="35" spans="3:19" x14ac:dyDescent="0.3">
      <c r="C35" s="4" t="s">
        <v>43</v>
      </c>
      <c r="D35" s="4" t="s">
        <v>5</v>
      </c>
      <c r="E35" s="4">
        <v>281</v>
      </c>
      <c r="F35" s="4" t="s">
        <v>261</v>
      </c>
      <c r="G35" s="4" t="s">
        <v>5</v>
      </c>
      <c r="H35" s="2">
        <f>$B$3+$B$4*$E35+('Станд.норм.распр.'!B35*$B$5*$S35)</f>
        <v>2772.6930641115177</v>
      </c>
      <c r="I35" s="2">
        <f>$B$3+$B$4*$E35+('Станд.норм.распр.'!C35*$B$5*$S35)</f>
        <v>3053.9591516521614</v>
      </c>
      <c r="J35" s="2">
        <f>$B$3+$B$4*$E35+('Станд.норм.распр.'!D35*$B$5*$S35)</f>
        <v>2803.064673339104</v>
      </c>
      <c r="K35" s="2">
        <f>$B$3+$B$4*$E35+('Станд.норм.распр.'!E35*$B$5*$S35)</f>
        <v>3172.0788813295076</v>
      </c>
      <c r="L35" s="2">
        <f>$B$3+$B$4*$E35+('Станд.норм.распр.'!F35*$B$5*$S35)</f>
        <v>3089.3046816749847</v>
      </c>
      <c r="M35" s="2">
        <f>$B$3+$B$4*$E35+('Станд.норм.распр.'!G35*$B$5*$S35)</f>
        <v>2811.4390663581435</v>
      </c>
      <c r="N35" s="2">
        <f>$B$3+$B$4*$E35+('Станд.норм.распр.'!H35*$B$5*$S35)</f>
        <v>3631.7878805170767</v>
      </c>
      <c r="O35" s="2">
        <f>$B$3+$B$4*$E35+('Станд.норм.распр.'!I35*$B$5*$S35)</f>
        <v>3396.1264778049372</v>
      </c>
      <c r="P35" s="2">
        <f>$B$3+$B$4*$E35+('Станд.норм.распр.'!J35*$B$5*$S35)</f>
        <v>3213.8184876607556</v>
      </c>
      <c r="Q35" s="2">
        <f>$B$3+$B$4*$E35+('Станд.норм.распр.'!K35*$B$5*$S35)</f>
        <v>3287.8583594942756</v>
      </c>
      <c r="S35">
        <v>33</v>
      </c>
    </row>
    <row r="36" spans="3:19" x14ac:dyDescent="0.3">
      <c r="C36" s="4" t="s">
        <v>44</v>
      </c>
      <c r="D36" s="4" t="s">
        <v>5</v>
      </c>
      <c r="E36" s="4">
        <v>315</v>
      </c>
      <c r="F36" s="4" t="s">
        <v>262</v>
      </c>
      <c r="G36" s="4" t="s">
        <v>5</v>
      </c>
      <c r="H36" s="2">
        <f>$B$3+$B$4*$E36+('Станд.норм.распр.'!B36*$B$5*$S36)</f>
        <v>3396.5875154833193</v>
      </c>
      <c r="I36" s="2">
        <f>$B$3+$B$4*$E36+('Станд.норм.распр.'!C36*$B$5*$S36)</f>
        <v>3891.4110000702785</v>
      </c>
      <c r="J36" s="2">
        <f>$B$3+$B$4*$E36+('Станд.норм.распр.'!D36*$B$5*$S36)</f>
        <v>3676.0196831280191</v>
      </c>
      <c r="K36" s="2">
        <f>$B$3+$B$4*$E36+('Станд.норм.распр.'!E36*$B$5*$S36)</f>
        <v>3682.6033447438967</v>
      </c>
      <c r="L36" s="2">
        <f>$B$3+$B$4*$E36+('Станд.норм.распр.'!F36*$B$5*$S36)</f>
        <v>3778.6458351844922</v>
      </c>
      <c r="M36" s="2">
        <f>$B$3+$B$4*$E36+('Станд.норм.распр.'!G36*$B$5*$S36)</f>
        <v>3163.5665964428918</v>
      </c>
      <c r="N36" s="2">
        <f>$B$3+$B$4*$E36+('Станд.норм.распр.'!H36*$B$5*$S36)</f>
        <v>2990.4404737250879</v>
      </c>
      <c r="O36" s="2">
        <f>$B$3+$B$4*$E36+('Станд.норм.распр.'!I36*$B$5*$S36)</f>
        <v>3313.8925510072149</v>
      </c>
      <c r="P36" s="2">
        <f>$B$3+$B$4*$E36+('Станд.норм.распр.'!J36*$B$5*$S36)</f>
        <v>2977.4463955915999</v>
      </c>
      <c r="Q36" s="2">
        <f>$B$3+$B$4*$E36+('Станд.норм.распр.'!K36*$B$5*$S36)</f>
        <v>3841.5525914685568</v>
      </c>
      <c r="S36">
        <v>34</v>
      </c>
    </row>
    <row r="37" spans="3:19" x14ac:dyDescent="0.3">
      <c r="C37" s="4" t="s">
        <v>45</v>
      </c>
      <c r="D37" s="4" t="s">
        <v>5</v>
      </c>
      <c r="E37" s="4">
        <v>883</v>
      </c>
      <c r="F37" s="4" t="s">
        <v>263</v>
      </c>
      <c r="G37" s="4" t="s">
        <v>5</v>
      </c>
      <c r="H37" s="2">
        <f>$B$3+$B$4*$E37+('Станд.норм.распр.'!B37*$B$5*$S37)</f>
        <v>9774.1771613774763</v>
      </c>
      <c r="I37" s="2">
        <f>$B$3+$B$4*$E37+('Станд.норм.распр.'!C37*$B$5*$S37)</f>
        <v>9864.9918899147015</v>
      </c>
      <c r="J37" s="2">
        <f>$B$3+$B$4*$E37+('Станд.норм.распр.'!D37*$B$5*$S37)</f>
        <v>9702.1906102574139</v>
      </c>
      <c r="K37" s="2">
        <f>$B$3+$B$4*$E37+('Станд.норм.распр.'!E37*$B$5*$S37)</f>
        <v>9479.8859012163593</v>
      </c>
      <c r="L37" s="2">
        <f>$B$3+$B$4*$E37+('Станд.норм.распр.'!F37*$B$5*$S37)</f>
        <v>9471.0018205452361</v>
      </c>
      <c r="M37" s="2">
        <f>$B$3+$B$4*$E37+('Станд.норм.распр.'!G37*$B$5*$S37)</f>
        <v>9817.5977117326984</v>
      </c>
      <c r="N37" s="2">
        <f>$B$3+$B$4*$E37+('Станд.норм.распр.'!H37*$B$5*$S37)</f>
        <v>9582.2390479744645</v>
      </c>
      <c r="O37" s="2">
        <f>$B$3+$B$4*$E37+('Станд.норм.распр.'!I37*$B$5*$S37)</f>
        <v>9959.0539920219744</v>
      </c>
      <c r="P37" s="2">
        <f>$B$3+$B$4*$E37+('Станд.норм.распр.'!J37*$B$5*$S37)</f>
        <v>9369.5518361320428</v>
      </c>
      <c r="Q37" s="2">
        <f>$B$3+$B$4*$E37+('Станд.норм.распр.'!K37*$B$5*$S37)</f>
        <v>9630.2567018275586</v>
      </c>
      <c r="S37">
        <v>35</v>
      </c>
    </row>
    <row r="38" spans="3:19" x14ac:dyDescent="0.3">
      <c r="C38" s="4" t="s">
        <v>46</v>
      </c>
      <c r="D38" s="4" t="s">
        <v>5</v>
      </c>
      <c r="E38" s="4">
        <v>75</v>
      </c>
      <c r="F38" s="4" t="s">
        <v>264</v>
      </c>
      <c r="G38" s="4" t="s">
        <v>5</v>
      </c>
      <c r="H38" s="2">
        <f>$B$3+$B$4*$E38+('Станд.норм.распр.'!B38*$B$5*$S38)</f>
        <v>902.64713044604287</v>
      </c>
      <c r="I38" s="2">
        <f>$B$3+$B$4*$E38+('Станд.норм.распр.'!C38*$B$5*$S38)</f>
        <v>854.01301994721871</v>
      </c>
      <c r="J38" s="2">
        <f>$B$3+$B$4*$E38+('Станд.норм.распр.'!D38*$B$5*$S38)</f>
        <v>1298.0909156831913</v>
      </c>
      <c r="K38" s="2">
        <f>$B$3+$B$4*$E38+('Станд.норм.распр.'!E38*$B$5*$S38)</f>
        <v>639.87765834468883</v>
      </c>
      <c r="L38" s="2">
        <f>$B$3+$B$4*$E38+('Станд.норм.распр.'!F38*$B$5*$S38)</f>
        <v>1286.097590949852</v>
      </c>
      <c r="M38" s="2">
        <f>$B$3+$B$4*$E38+('Станд.норм.распр.'!G38*$B$5*$S38)</f>
        <v>701.33644904132234</v>
      </c>
      <c r="N38" s="2">
        <f>$B$3+$B$4*$E38+('Станд.норм.распр.'!H38*$B$5*$S38)</f>
        <v>1320.6218643100001</v>
      </c>
      <c r="O38" s="2">
        <f>$B$3+$B$4*$E38+('Станд.норм.распр.'!I38*$B$5*$S38)</f>
        <v>1151.1085956081515</v>
      </c>
      <c r="P38" s="2">
        <f>$B$3+$B$4*$E38+('Станд.норм.распр.'!J38*$B$5*$S38)</f>
        <v>772.57075709354831</v>
      </c>
      <c r="Q38" s="2">
        <f>$B$3+$B$4*$E38+('Станд.норм.распр.'!K38*$B$5*$S38)</f>
        <v>1158.3605789419962</v>
      </c>
      <c r="S38">
        <v>36</v>
      </c>
    </row>
    <row r="39" spans="3:19" x14ac:dyDescent="0.3">
      <c r="C39" s="4" t="s">
        <v>47</v>
      </c>
      <c r="D39" s="4" t="s">
        <v>5</v>
      </c>
      <c r="E39" s="4">
        <v>763</v>
      </c>
      <c r="F39" s="4" t="s">
        <v>265</v>
      </c>
      <c r="G39" s="4" t="s">
        <v>5</v>
      </c>
      <c r="H39" s="2">
        <f>$B$3+$B$4*$E39+('Станд.норм.распр.'!B39*$B$5*$S39)</f>
        <v>8286.7873627154331</v>
      </c>
      <c r="I39" s="2">
        <f>$B$3+$B$4*$E39+('Станд.норм.распр.'!C39*$B$5*$S39)</f>
        <v>8999.3672688368242</v>
      </c>
      <c r="J39" s="2">
        <f>$B$3+$B$4*$E39+('Станд.норм.распр.'!D39*$B$5*$S39)</f>
        <v>8777.6876213982468</v>
      </c>
      <c r="K39" s="2">
        <f>$B$3+$B$4*$E39+('Станд.норм.распр.'!E39*$B$5*$S39)</f>
        <v>8289.0141536270967</v>
      </c>
      <c r="L39" s="2">
        <f>$B$3+$B$4*$E39+('Станд.норм.распр.'!F39*$B$5*$S39)</f>
        <v>8281.8529878866975</v>
      </c>
      <c r="M39" s="2">
        <f>$B$3+$B$4*$E39+('Станд.норм.распр.'!G39*$B$5*$S39)</f>
        <v>8046.5051903164131</v>
      </c>
      <c r="N39" s="2">
        <f>$B$3+$B$4*$E39+('Станд.норм.распр.'!H39*$B$5*$S39)</f>
        <v>8136.5505272631999</v>
      </c>
      <c r="O39" s="2">
        <f>$B$3+$B$4*$E39+('Станд.норм.распр.'!I39*$B$5*$S39)</f>
        <v>8473.6102744162345</v>
      </c>
      <c r="P39" s="2">
        <f>$B$3+$B$4*$E39+('Станд.норм.распр.'!J39*$B$5*$S39)</f>
        <v>8128.0302694838902</v>
      </c>
      <c r="Q39" s="2">
        <f>$B$3+$B$4*$E39+('Станд.норм.распр.'!K39*$B$5*$S39)</f>
        <v>8584.9986564542924</v>
      </c>
      <c r="S39">
        <v>37</v>
      </c>
    </row>
    <row r="40" spans="3:19" x14ac:dyDescent="0.3">
      <c r="C40" s="4" t="s">
        <v>48</v>
      </c>
      <c r="D40" s="4" t="s">
        <v>5</v>
      </c>
      <c r="E40" s="4">
        <v>438</v>
      </c>
      <c r="F40" s="4" t="s">
        <v>266</v>
      </c>
      <c r="G40" s="4" t="s">
        <v>5</v>
      </c>
      <c r="H40" s="2">
        <f>$B$3+$B$4*$E40+('Станд.норм.распр.'!B40*$B$5*$S40)</f>
        <v>5201.2060136017972</v>
      </c>
      <c r="I40" s="2">
        <f>$B$3+$B$4*$E40+('Станд.норм.распр.'!C40*$B$5*$S40)</f>
        <v>4322.8297503570793</v>
      </c>
      <c r="J40" s="2">
        <f>$B$3+$B$4*$E40+('Станд.норм.распр.'!D40*$B$5*$S40)</f>
        <v>5414.9895235365257</v>
      </c>
      <c r="K40" s="2">
        <f>$B$3+$B$4*$E40+('Станд.норм.распр.'!E40*$B$5*$S40)</f>
        <v>5333.3785175833618</v>
      </c>
      <c r="L40" s="2">
        <f>$B$3+$B$4*$E40+('Станд.норм.распр.'!F40*$B$5*$S40)</f>
        <v>5073.2225376247079</v>
      </c>
      <c r="M40" s="2">
        <f>$B$3+$B$4*$E40+('Станд.норм.распр.'!G40*$B$5*$S40)</f>
        <v>4772.8271605716436</v>
      </c>
      <c r="N40" s="2">
        <f>$B$3+$B$4*$E40+('Станд.норм.распр.'!H40*$B$5*$S40)</f>
        <v>4881.9246289109578</v>
      </c>
      <c r="O40" s="2">
        <f>$B$3+$B$4*$E40+('Станд.норм.распр.'!I40*$B$5*$S40)</f>
        <v>5176.1052831476554</v>
      </c>
      <c r="P40" s="2">
        <f>$B$3+$B$4*$E40+('Станд.норм.распр.'!J40*$B$5*$S40)</f>
        <v>5031.5103320950875</v>
      </c>
      <c r="Q40" s="2">
        <f>$B$3+$B$4*$E40+('Станд.норм.распр.'!K40*$B$5*$S40)</f>
        <v>4921.9392944120336</v>
      </c>
      <c r="S40">
        <v>38</v>
      </c>
    </row>
    <row r="41" spans="3:19" x14ac:dyDescent="0.3">
      <c r="C41" s="4" t="s">
        <v>49</v>
      </c>
      <c r="D41" s="4" t="s">
        <v>5</v>
      </c>
      <c r="E41" s="4">
        <v>752</v>
      </c>
      <c r="F41" s="4" t="s">
        <v>267</v>
      </c>
      <c r="G41" s="4" t="s">
        <v>5</v>
      </c>
      <c r="H41" s="2">
        <f>$B$3+$B$4*$E41+('Станд.норм.распр.'!B41*$B$5*$S41)</f>
        <v>8065.9537391074409</v>
      </c>
      <c r="I41" s="2">
        <f>$B$3+$B$4*$E41+('Станд.норм.распр.'!C41*$B$5*$S41)</f>
        <v>8473.2482994258462</v>
      </c>
      <c r="J41" s="2">
        <f>$B$3+$B$4*$E41+('Станд.норм.распр.'!D41*$B$5*$S41)</f>
        <v>8729.770081801631</v>
      </c>
      <c r="K41" s="2">
        <f>$B$3+$B$4*$E41+('Станд.норм.распр.'!E41*$B$5*$S41)</f>
        <v>8202.0350319016288</v>
      </c>
      <c r="L41" s="2">
        <f>$B$3+$B$4*$E41+('Станд.норм.распр.'!F41*$B$5*$S41)</f>
        <v>8451.2244395700109</v>
      </c>
      <c r="M41" s="2">
        <f>$B$3+$B$4*$E41+('Станд.норм.распр.'!G41*$B$5*$S41)</f>
        <v>7823.7032519172644</v>
      </c>
      <c r="N41" s="2">
        <f>$B$3+$B$4*$E41+('Станд.норм.распр.'!H41*$B$5*$S41)</f>
        <v>7360.378574732691</v>
      </c>
      <c r="O41" s="2">
        <f>$B$3+$B$4*$E41+('Станд.норм.распр.'!I41*$B$5*$S41)</f>
        <v>7841.3328744790633</v>
      </c>
      <c r="P41" s="2">
        <f>$B$3+$B$4*$E41+('Станд.норм.распр.'!J41*$B$5*$S41)</f>
        <v>8358.5958966540929</v>
      </c>
      <c r="Q41" s="2">
        <f>$B$3+$B$4*$E41+('Станд.норм.распр.'!K41*$B$5*$S41)</f>
        <v>8050.1716754515073</v>
      </c>
      <c r="S41">
        <v>39</v>
      </c>
    </row>
    <row r="42" spans="3:19" x14ac:dyDescent="0.3">
      <c r="C42" s="4" t="s">
        <v>50</v>
      </c>
      <c r="D42" s="4" t="s">
        <v>5</v>
      </c>
      <c r="E42" s="4">
        <v>607</v>
      </c>
      <c r="F42" s="4" t="s">
        <v>268</v>
      </c>
      <c r="G42" s="4" t="s">
        <v>5</v>
      </c>
      <c r="H42" s="2">
        <f>$B$3+$B$4*$E42+('Станд.норм.распр.'!B42*$B$5*$S42)</f>
        <v>6693.1069354261272</v>
      </c>
      <c r="I42" s="2">
        <f>$B$3+$B$4*$E42+('Станд.норм.распр.'!C42*$B$5*$S42)</f>
        <v>6825.0539711236488</v>
      </c>
      <c r="J42" s="2">
        <f>$B$3+$B$4*$E42+('Станд.норм.распр.'!D42*$B$5*$S42)</f>
        <v>5793.193396538496</v>
      </c>
      <c r="K42" s="2">
        <f>$B$3+$B$4*$E42+('Станд.норм.распр.'!E42*$B$5*$S42)</f>
        <v>7014.1788468838204</v>
      </c>
      <c r="L42" s="2">
        <f>$B$3+$B$4*$E42+('Станд.норм.распр.'!F42*$B$5*$S42)</f>
        <v>6257.0416971077211</v>
      </c>
      <c r="M42" s="2">
        <f>$B$3+$B$4*$E42+('Станд.норм.распр.'!G42*$B$5*$S42)</f>
        <v>6070.2611348908395</v>
      </c>
      <c r="N42" s="2">
        <f>$B$3+$B$4*$E42+('Станд.норм.распр.'!H42*$B$5*$S42)</f>
        <v>6754.657444115961</v>
      </c>
      <c r="O42" s="2">
        <f>$B$3+$B$4*$E42+('Станд.норм.распр.'!I42*$B$5*$S42)</f>
        <v>7431.7932571368292</v>
      </c>
      <c r="P42" s="2">
        <f>$B$3+$B$4*$E42+('Станд.норм.распр.'!J42*$B$5*$S42)</f>
        <v>6372.9796251656953</v>
      </c>
      <c r="Q42" s="2">
        <f>$B$3+$B$4*$E42+('Станд.норм.распр.'!K42*$B$5*$S42)</f>
        <v>6445.9750332836993</v>
      </c>
      <c r="S42">
        <v>40</v>
      </c>
    </row>
    <row r="43" spans="3:19" x14ac:dyDescent="0.3">
      <c r="C43" s="4" t="s">
        <v>51</v>
      </c>
      <c r="D43" s="4" t="s">
        <v>5</v>
      </c>
      <c r="E43" s="4">
        <v>733</v>
      </c>
      <c r="F43" s="4" t="s">
        <v>269</v>
      </c>
      <c r="G43" s="4" t="s">
        <v>5</v>
      </c>
      <c r="H43" s="2">
        <f>$B$3+$B$4*$E43+('Станд.норм.распр.'!B43*$B$5*$S43)</f>
        <v>7982.558645423298</v>
      </c>
      <c r="I43" s="2">
        <f>$B$3+$B$4*$E43+('Станд.норм.распр.'!C43*$B$5*$S43)</f>
        <v>8234.7110128891945</v>
      </c>
      <c r="J43" s="2">
        <f>$B$3+$B$4*$E43+('Станд.норм.распр.'!D43*$B$5*$S43)</f>
        <v>8289.4563411598501</v>
      </c>
      <c r="K43" s="2">
        <f>$B$3+$B$4*$E43+('Станд.норм.распр.'!E43*$B$5*$S43)</f>
        <v>8022.5919532920234</v>
      </c>
      <c r="L43" s="2">
        <f>$B$3+$B$4*$E43+('Станд.норм.распр.'!F43*$B$5*$S43)</f>
        <v>8499.2370830575528</v>
      </c>
      <c r="M43" s="2">
        <f>$B$3+$B$4*$E43+('Станд.норм.распр.'!G43*$B$5*$S43)</f>
        <v>7813.6837806112017</v>
      </c>
      <c r="N43" s="2">
        <f>$B$3+$B$4*$E43+('Станд.норм.распр.'!H43*$B$5*$S43)</f>
        <v>8066.3705967224378</v>
      </c>
      <c r="O43" s="2">
        <f>$B$3+$B$4*$E43+('Станд.норм.распр.'!I43*$B$5*$S43)</f>
        <v>8032.8169542979158</v>
      </c>
      <c r="P43" s="2">
        <f>$B$3+$B$4*$E43+('Станд.норм.распр.'!J43*$B$5*$S43)</f>
        <v>8303.699648329175</v>
      </c>
      <c r="Q43" s="2">
        <f>$B$3+$B$4*$E43+('Станд.норм.распр.'!K43*$B$5*$S43)</f>
        <v>9021.2541340831667</v>
      </c>
      <c r="S43">
        <v>41</v>
      </c>
    </row>
    <row r="44" spans="3:19" x14ac:dyDescent="0.3">
      <c r="C44" s="4" t="s">
        <v>52</v>
      </c>
      <c r="D44" s="4" t="s">
        <v>5</v>
      </c>
      <c r="E44" s="4">
        <v>526</v>
      </c>
      <c r="F44" s="4" t="s">
        <v>270</v>
      </c>
      <c r="G44" s="4" t="s">
        <v>5</v>
      </c>
      <c r="H44" s="2">
        <f>$B$3+$B$4*$E44+('Станд.норм.распр.'!B44*$B$5*$S44)</f>
        <v>5782.4560177330568</v>
      </c>
      <c r="I44" s="2">
        <f>$B$3+$B$4*$E44+('Станд.норм.распр.'!C44*$B$5*$S44)</f>
        <v>5710.79577966957</v>
      </c>
      <c r="J44" s="2">
        <f>$B$3+$B$4*$E44+('Станд.норм.распр.'!D44*$B$5*$S44)</f>
        <v>5755.6125430899556</v>
      </c>
      <c r="K44" s="2">
        <f>$B$3+$B$4*$E44+('Станд.норм.распр.'!E44*$B$5*$S44)</f>
        <v>5671.4452613057801</v>
      </c>
      <c r="L44" s="2">
        <f>$B$3+$B$4*$E44+('Станд.норм.распр.'!F44*$B$5*$S44)</f>
        <v>6128.5792124194577</v>
      </c>
      <c r="M44" s="2">
        <f>$B$3+$B$4*$E44+('Станд.норм.распр.'!G44*$B$5*$S44)</f>
        <v>5782.9480657353997</v>
      </c>
      <c r="N44" s="2">
        <f>$B$3+$B$4*$E44+('Станд.норм.распр.'!H44*$B$5*$S44)</f>
        <v>5700.2341519371839</v>
      </c>
      <c r="O44" s="2">
        <f>$B$3+$B$4*$E44+('Станд.норм.распр.'!I44*$B$5*$S44)</f>
        <v>6754.8395610181615</v>
      </c>
      <c r="P44" s="2">
        <f>$B$3+$B$4*$E44+('Станд.норм.распр.'!J44*$B$5*$S44)</f>
        <v>6173.6602636314929</v>
      </c>
      <c r="Q44" s="2">
        <f>$B$3+$B$4*$E44+('Станд.норм.распр.'!K44*$B$5*$S44)</f>
        <v>5681.723692851665</v>
      </c>
      <c r="S44">
        <v>42</v>
      </c>
    </row>
    <row r="45" spans="3:19" x14ac:dyDescent="0.3">
      <c r="C45" s="4" t="s">
        <v>53</v>
      </c>
      <c r="D45" s="4" t="s">
        <v>5</v>
      </c>
      <c r="E45" s="4">
        <v>270</v>
      </c>
      <c r="F45" s="4" t="s">
        <v>271</v>
      </c>
      <c r="G45" s="4" t="s">
        <v>5</v>
      </c>
      <c r="H45" s="2">
        <f>$B$3+$B$4*$E45+('Станд.норм.распр.'!B45*$B$5*$S45)</f>
        <v>3113.4218850489415</v>
      </c>
      <c r="I45" s="2">
        <f>$B$3+$B$4*$E45+('Станд.норм.распр.'!C45*$B$5*$S45)</f>
        <v>2726.3168656496273</v>
      </c>
      <c r="J45" s="2">
        <f>$B$3+$B$4*$E45+('Станд.норм.распр.'!D45*$B$5*$S45)</f>
        <v>2621.7531761027058</v>
      </c>
      <c r="K45" s="2">
        <f>$B$3+$B$4*$E45+('Станд.норм.распр.'!E45*$B$5*$S45)</f>
        <v>3049.6366353268822</v>
      </c>
      <c r="L45" s="2">
        <f>$B$3+$B$4*$E45+('Станд.норм.распр.'!F45*$B$5*$S45)</f>
        <v>2894.0714080668695</v>
      </c>
      <c r="M45" s="2">
        <f>$B$3+$B$4*$E45+('Станд.норм.распр.'!G45*$B$5*$S45)</f>
        <v>3479.4691530656419</v>
      </c>
      <c r="N45" s="2">
        <f>$B$3+$B$4*$E45+('Станд.норм.распр.'!H45*$B$5*$S45)</f>
        <v>3135.9112925052468</v>
      </c>
      <c r="O45" s="2">
        <f>$B$3+$B$4*$E45+('Станд.норм.распр.'!I45*$B$5*$S45)</f>
        <v>2621.6616627458134</v>
      </c>
      <c r="P45" s="2">
        <f>$B$3+$B$4*$E45+('Станд.норм.распр.'!J45*$B$5*$S45)</f>
        <v>2842.9655979230884</v>
      </c>
      <c r="Q45" s="2">
        <f>$B$3+$B$4*$E45+('Станд.норм.распр.'!K45*$B$5*$S45)</f>
        <v>2835.1218473140616</v>
      </c>
      <c r="S45">
        <v>43</v>
      </c>
    </row>
    <row r="46" spans="3:19" x14ac:dyDescent="0.3">
      <c r="C46" s="4" t="s">
        <v>54</v>
      </c>
      <c r="D46" s="4" t="s">
        <v>5</v>
      </c>
      <c r="E46" s="4">
        <v>728</v>
      </c>
      <c r="F46" s="4" t="s">
        <v>272</v>
      </c>
      <c r="G46" s="4" t="s">
        <v>5</v>
      </c>
      <c r="H46" s="2">
        <f>$B$3+$B$4*$E46+('Станд.норм.распр.'!B46*$B$5*$S46)</f>
        <v>7867.8965819736477</v>
      </c>
      <c r="I46" s="2">
        <f>$B$3+$B$4*$E46+('Станд.норм.распр.'!C46*$B$5*$S46)</f>
        <v>8098.7410710977856</v>
      </c>
      <c r="J46" s="2">
        <f>$B$3+$B$4*$E46+('Станд.норм.распр.'!D46*$B$5*$S46)</f>
        <v>7547.8882063353667</v>
      </c>
      <c r="K46" s="2">
        <f>$B$3+$B$4*$E46+('Станд.норм.распр.'!E46*$B$5*$S46)</f>
        <v>7891.1687642349279</v>
      </c>
      <c r="L46" s="2">
        <f>$B$3+$B$4*$E46+('Станд.норм.распр.'!F46*$B$5*$S46)</f>
        <v>8464.5104634719901</v>
      </c>
      <c r="M46" s="2">
        <f>$B$3+$B$4*$E46+('Станд.норм.распр.'!G46*$B$5*$S46)</f>
        <v>8312.89079816913</v>
      </c>
      <c r="N46" s="2">
        <f>$B$3+$B$4*$E46+('Станд.норм.распр.'!H46*$B$5*$S46)</f>
        <v>8068.3485275759012</v>
      </c>
      <c r="O46" s="2">
        <f>$B$3+$B$4*$E46+('Станд.норм.распр.'!I46*$B$5*$S46)</f>
        <v>8198.4144235494314</v>
      </c>
      <c r="P46" s="2">
        <f>$B$3+$B$4*$E46+('Станд.норм.распр.'!J46*$B$5*$S46)</f>
        <v>7610.3237261296017</v>
      </c>
      <c r="Q46" s="2">
        <f>$B$3+$B$4*$E46+('Станд.норм.распр.'!K46*$B$5*$S46)</f>
        <v>8128.9652398655307</v>
      </c>
      <c r="S46">
        <v>44</v>
      </c>
    </row>
    <row r="47" spans="3:19" x14ac:dyDescent="0.3">
      <c r="C47" s="4" t="s">
        <v>55</v>
      </c>
      <c r="D47" s="4" t="s">
        <v>5</v>
      </c>
      <c r="E47" s="4">
        <v>643</v>
      </c>
      <c r="F47" s="4" t="s">
        <v>273</v>
      </c>
      <c r="G47" s="4" t="s">
        <v>5</v>
      </c>
      <c r="H47" s="2">
        <f>$B$3+$B$4*$E47+('Станд.норм.распр.'!B47*$B$5*$S47)</f>
        <v>6624.5810840414488</v>
      </c>
      <c r="I47" s="2">
        <f>$B$3+$B$4*$E47+('Станд.норм.распр.'!C47*$B$5*$S47)</f>
        <v>6877.594745263661</v>
      </c>
      <c r="J47" s="2">
        <f>$B$3+$B$4*$E47+('Станд.норм.распр.'!D47*$B$5*$S47)</f>
        <v>7437.9585326355591</v>
      </c>
      <c r="K47" s="2">
        <f>$B$3+$B$4*$E47+('Станд.норм.распр.'!E47*$B$5*$S47)</f>
        <v>6802.3344224898319</v>
      </c>
      <c r="L47" s="2">
        <f>$B$3+$B$4*$E47+('Станд.норм.распр.'!F47*$B$5*$S47)</f>
        <v>7427.653150487924</v>
      </c>
      <c r="M47" s="2">
        <f>$B$3+$B$4*$E47+('Станд.норм.распр.'!G47*$B$5*$S47)</f>
        <v>7162.614855177264</v>
      </c>
      <c r="N47" s="2">
        <f>$B$3+$B$4*$E47+('Станд.норм.распр.'!H47*$B$5*$S47)</f>
        <v>7157.4188835243258</v>
      </c>
      <c r="O47" s="2">
        <f>$B$3+$B$4*$E47+('Станд.норм.распр.'!I47*$B$5*$S47)</f>
        <v>6738.381381227111</v>
      </c>
      <c r="P47" s="2">
        <f>$B$3+$B$4*$E47+('Станд.норм.распр.'!J47*$B$5*$S47)</f>
        <v>7013.717231346629</v>
      </c>
      <c r="Q47" s="2">
        <f>$B$3+$B$4*$E47+('Станд.норм.распр.'!K47*$B$5*$S47)</f>
        <v>6748.5919144460349</v>
      </c>
      <c r="S47">
        <v>45</v>
      </c>
    </row>
    <row r="48" spans="3:19" x14ac:dyDescent="0.3">
      <c r="C48" s="4" t="s">
        <v>56</v>
      </c>
      <c r="D48" s="4" t="s">
        <v>5</v>
      </c>
      <c r="E48" s="4">
        <v>847</v>
      </c>
      <c r="F48" s="4" t="s">
        <v>274</v>
      </c>
      <c r="G48" s="4" t="s">
        <v>5</v>
      </c>
      <c r="H48" s="2">
        <f>$B$3+$B$4*$E48+('Станд.норм.распр.'!B48*$B$5*$S48)</f>
        <v>8999.1078619076288</v>
      </c>
      <c r="I48" s="2">
        <f>$B$3+$B$4*$E48+('Станд.норм.распр.'!C48*$B$5*$S48)</f>
        <v>9521.8912349790626</v>
      </c>
      <c r="J48" s="2">
        <f>$B$3+$B$4*$E48+('Станд.норм.распр.'!D48*$B$5*$S48)</f>
        <v>8984.937125003722</v>
      </c>
      <c r="K48" s="2">
        <f>$B$3+$B$4*$E48+('Станд.норм.распр.'!E48*$B$5*$S48)</f>
        <v>9691.3272739383101</v>
      </c>
      <c r="L48" s="2">
        <f>$B$3+$B$4*$E48+('Станд.норм.распр.'!F48*$B$5*$S48)</f>
        <v>9483.2285811006441</v>
      </c>
      <c r="M48" s="2">
        <f>$B$3+$B$4*$E48+('Станд.норм.распр.'!G48*$B$5*$S48)</f>
        <v>8763.377926495974</v>
      </c>
      <c r="N48" s="2">
        <f>$B$3+$B$4*$E48+('Станд.норм.распр.'!H48*$B$5*$S48)</f>
        <v>9677.8724162303261</v>
      </c>
      <c r="O48" s="2">
        <f>$B$3+$B$4*$E48+('Станд.норм.распр.'!I48*$B$5*$S48)</f>
        <v>9536.9548205579631</v>
      </c>
      <c r="P48" s="2">
        <f>$B$3+$B$4*$E48+('Станд.норм.распр.'!J48*$B$5*$S48)</f>
        <v>9617.668905573606</v>
      </c>
      <c r="Q48" s="2">
        <f>$B$3+$B$4*$E48+('Станд.норм.распр.'!K48*$B$5*$S48)</f>
        <v>8908.6839887184906</v>
      </c>
      <c r="S48">
        <v>46</v>
      </c>
    </row>
    <row r="49" spans="3:19" x14ac:dyDescent="0.3">
      <c r="C49" s="4" t="s">
        <v>57</v>
      </c>
      <c r="D49" s="4" t="s">
        <v>5</v>
      </c>
      <c r="E49" s="4">
        <v>980</v>
      </c>
      <c r="F49" s="4" t="s">
        <v>275</v>
      </c>
      <c r="G49" s="4" t="s">
        <v>5</v>
      </c>
      <c r="H49" s="2">
        <f>$B$3+$B$4*$E49+('Станд.норм.распр.'!B49*$B$5*$S49)</f>
        <v>10860.790108803616</v>
      </c>
      <c r="I49" s="2">
        <f>$B$3+$B$4*$E49+('Станд.норм.распр.'!C49*$B$5*$S49)</f>
        <v>10748.984831447291</v>
      </c>
      <c r="J49" s="2">
        <f>$B$3+$B$4*$E49+('Станд.норм.распр.'!D49*$B$5*$S49)</f>
        <v>10193.925350189733</v>
      </c>
      <c r="K49" s="2">
        <f>$B$3+$B$4*$E49+('Станд.норм.распр.'!E49*$B$5*$S49)</f>
        <v>9875.1975476390216</v>
      </c>
      <c r="L49" s="2">
        <f>$B$3+$B$4*$E49+('Станд.норм.распр.'!F49*$B$5*$S49)</f>
        <v>11623.102009447524</v>
      </c>
      <c r="M49" s="2">
        <f>$B$3+$B$4*$E49+('Станд.норм.распр.'!G49*$B$5*$S49)</f>
        <v>11119.885448546614</v>
      </c>
      <c r="N49" s="2">
        <f>$B$3+$B$4*$E49+('Станд.норм.распр.'!H49*$B$5*$S49)</f>
        <v>10782.009356002294</v>
      </c>
      <c r="O49" s="2">
        <f>$B$3+$B$4*$E49+('Станд.норм.распр.'!I49*$B$5*$S49)</f>
        <v>10413.87725328072</v>
      </c>
      <c r="P49" s="2">
        <f>$B$3+$B$4*$E49+('Станд.норм.распр.'!J49*$B$5*$S49)</f>
        <v>10694.475827416813</v>
      </c>
      <c r="Q49" s="2">
        <f>$B$3+$B$4*$E49+('Станд.норм.распр.'!K49*$B$5*$S49)</f>
        <v>10239.787375407235</v>
      </c>
      <c r="S49">
        <v>47</v>
      </c>
    </row>
    <row r="50" spans="3:19" x14ac:dyDescent="0.3">
      <c r="C50" s="4" t="s">
        <v>58</v>
      </c>
      <c r="D50" s="4" t="s">
        <v>5</v>
      </c>
      <c r="E50" s="4">
        <v>337</v>
      </c>
      <c r="F50" s="4" t="s">
        <v>276</v>
      </c>
      <c r="G50" s="4" t="s">
        <v>5</v>
      </c>
      <c r="H50" s="2">
        <f>$B$3+$B$4*$E50+('Станд.норм.распр.'!B50*$B$5*$S50)</f>
        <v>3835.9080344475806</v>
      </c>
      <c r="I50" s="2">
        <f>$B$3+$B$4*$E50+('Станд.норм.распр.'!C50*$B$5*$S50)</f>
        <v>3381.7401772052981</v>
      </c>
      <c r="J50" s="2">
        <f>$B$3+$B$4*$E50+('Станд.норм.распр.'!D50*$B$5*$S50)</f>
        <v>3575.7599534504116</v>
      </c>
      <c r="K50" s="2">
        <f>$B$3+$B$4*$E50+('Станд.норм.распр.'!E50*$B$5*$S50)</f>
        <v>4155.0562009019777</v>
      </c>
      <c r="L50" s="2">
        <f>$B$3+$B$4*$E50+('Станд.норм.распр.'!F50*$B$5*$S50)</f>
        <v>3782.893806559965</v>
      </c>
      <c r="M50" s="2">
        <f>$B$3+$B$4*$E50+('Станд.норм.распр.'!G50*$B$5*$S50)</f>
        <v>3705.6129867364652</v>
      </c>
      <c r="N50" s="2">
        <f>$B$3+$B$4*$E50+('Станд.норм.распр.'!H50*$B$5*$S50)</f>
        <v>4519.5923730302602</v>
      </c>
      <c r="O50" s="2">
        <f>$B$3+$B$4*$E50+('Станд.норм.распр.'!I50*$B$5*$S50)</f>
        <v>3996.7914626272395</v>
      </c>
      <c r="P50" s="2">
        <f>$B$3+$B$4*$E50+('Станд.норм.распр.'!J50*$B$5*$S50)</f>
        <v>3914.0365397129208</v>
      </c>
      <c r="Q50" s="2">
        <f>$B$3+$B$4*$E50+('Станд.норм.распр.'!K50*$B$5*$S50)</f>
        <v>3548.2789343900513</v>
      </c>
      <c r="S50">
        <v>48</v>
      </c>
    </row>
    <row r="51" spans="3:19" x14ac:dyDescent="0.3">
      <c r="C51" s="4" t="s">
        <v>59</v>
      </c>
      <c r="D51" s="4" t="s">
        <v>5</v>
      </c>
      <c r="E51" s="4">
        <v>972</v>
      </c>
      <c r="F51" s="4" t="s">
        <v>277</v>
      </c>
      <c r="G51" s="4" t="s">
        <v>5</v>
      </c>
      <c r="H51" s="2">
        <f>$B$3+$B$4*$E51+('Станд.норм.распр.'!B51*$B$5*$S51)</f>
        <v>11453.885173950635</v>
      </c>
      <c r="I51" s="2">
        <f>$B$3+$B$4*$E51+('Станд.норм.распр.'!C51*$B$5*$S51)</f>
        <v>10941.416606528815</v>
      </c>
      <c r="J51" s="2">
        <f>$B$3+$B$4*$E51+('Станд.норм.распр.'!D51*$B$5*$S51)</f>
        <v>11374.873008180526</v>
      </c>
      <c r="K51" s="2">
        <f>$B$3+$B$4*$E51+('Станд.норм.распр.'!E51*$B$5*$S51)</f>
        <v>10701.879435479643</v>
      </c>
      <c r="L51" s="2">
        <f>$B$3+$B$4*$E51+('Станд.норм.распр.'!F51*$B$5*$S51)</f>
        <v>10115.964684673469</v>
      </c>
      <c r="M51" s="2">
        <f>$B$3+$B$4*$E51+('Станд.норм.распр.'!G51*$B$5*$S51)</f>
        <v>10094.464407275023</v>
      </c>
      <c r="N51" s="2">
        <f>$B$3+$B$4*$E51+('Станд.норм.распр.'!H51*$B$5*$S51)</f>
        <v>10505.319547264531</v>
      </c>
      <c r="O51" s="2">
        <f>$B$3+$B$4*$E51+('Станд.норм.распр.'!I51*$B$5*$S51)</f>
        <v>10739.041560527636</v>
      </c>
      <c r="P51" s="2">
        <f>$B$3+$B$4*$E51+('Станд.норм.распр.'!J51*$B$5*$S51)</f>
        <v>10542.832226947081</v>
      </c>
      <c r="Q51" s="2">
        <f>$B$3+$B$4*$E51+('Станд.норм.распр.'!K51*$B$5*$S51)</f>
        <v>10681.005250689719</v>
      </c>
      <c r="S51">
        <v>49</v>
      </c>
    </row>
    <row r="52" spans="3:19" x14ac:dyDescent="0.3">
      <c r="C52" s="4" t="s">
        <v>60</v>
      </c>
      <c r="D52" s="4" t="s">
        <v>5</v>
      </c>
      <c r="E52" s="4">
        <v>174</v>
      </c>
      <c r="F52" s="4" t="s">
        <v>278</v>
      </c>
      <c r="G52" s="4" t="s">
        <v>5</v>
      </c>
      <c r="H52" s="2">
        <f>$B$3+$B$4*$E52+('Станд.норм.распр.'!B52*$B$5*$S52)</f>
        <v>2137.6754769809195</v>
      </c>
      <c r="I52" s="2">
        <f>$B$3+$B$4*$E52+('Станд.норм.распр.'!C52*$B$5*$S52)</f>
        <v>1665.1190829653642</v>
      </c>
      <c r="J52" s="2">
        <f>$B$3+$B$4*$E52+('Станд.норм.распр.'!D52*$B$5*$S52)</f>
        <v>2357.2870698918705</v>
      </c>
      <c r="K52" s="2">
        <f>$B$3+$B$4*$E52+('Станд.норм.распр.'!E52*$B$5*$S52)</f>
        <v>1460.0683865429601</v>
      </c>
      <c r="L52" s="2">
        <f>$B$3+$B$4*$E52+('Станд.норм.распр.'!F52*$B$5*$S52)</f>
        <v>1407.6733062685234</v>
      </c>
      <c r="M52" s="2">
        <f>$B$3+$B$4*$E52+('Станд.норм.распр.'!G52*$B$5*$S52)</f>
        <v>1806.1273120584956</v>
      </c>
      <c r="N52" s="2">
        <f>$B$3+$B$4*$E52+('Станд.норм.распр.'!H52*$B$5*$S52)</f>
        <v>1210.8807080513798</v>
      </c>
      <c r="O52" s="2">
        <f>$B$3+$B$4*$E52+('Станд.норм.распр.'!I52*$B$5*$S52)</f>
        <v>2060.0108822255861</v>
      </c>
      <c r="P52" s="2">
        <f>$B$3+$B$4*$E52+('Станд.норм.распр.'!J52*$B$5*$S52)</f>
        <v>2229.653715269636</v>
      </c>
      <c r="Q52" s="2">
        <f>$B$3+$B$4*$E52+('Станд.норм.распр.'!K52*$B$5*$S52)</f>
        <v>2079.073777487909</v>
      </c>
      <c r="S52">
        <v>50</v>
      </c>
    </row>
    <row r="53" spans="3:19" x14ac:dyDescent="0.3">
      <c r="C53" s="4" t="s">
        <v>61</v>
      </c>
      <c r="D53" s="4" t="s">
        <v>5</v>
      </c>
      <c r="E53" s="4">
        <v>227</v>
      </c>
      <c r="F53" s="4" t="s">
        <v>279</v>
      </c>
      <c r="G53" s="4" t="s">
        <v>5</v>
      </c>
      <c r="H53" s="2">
        <f>$B$3+$B$4*$E53+('Станд.норм.распр.'!B53*$B$5*$S53)</f>
        <v>1827.1076690739719</v>
      </c>
      <c r="I53" s="2">
        <f>$B$3+$B$4*$E53+('Станд.норм.распр.'!C53*$B$5*$S53)</f>
        <v>3317.2910364969866</v>
      </c>
      <c r="J53" s="2">
        <f>$B$3+$B$4*$E53+('Станд.норм.распр.'!D53*$B$5*$S53)</f>
        <v>1995.3276158462686</v>
      </c>
      <c r="K53" s="2">
        <f>$B$3+$B$4*$E53+('Станд.норм.распр.'!E53*$B$5*$S53)</f>
        <v>2763.3857551750552</v>
      </c>
      <c r="L53" s="2">
        <f>$B$3+$B$4*$E53+('Станд.норм.распр.'!F53*$B$5*$S53)</f>
        <v>2133.9049088469765</v>
      </c>
      <c r="M53" s="2">
        <f>$B$3+$B$4*$E53+('Станд.норм.распр.'!G53*$B$5*$S53)</f>
        <v>3124.0016890892875</v>
      </c>
      <c r="N53" s="2">
        <f>$B$3+$B$4*$E53+('Станд.норм.распр.'!H53*$B$5*$S53)</f>
        <v>2405.60279607556</v>
      </c>
      <c r="O53" s="2">
        <f>$B$3+$B$4*$E53+('Станд.норм.распр.'!I53*$B$5*$S53)</f>
        <v>1563.8460875793826</v>
      </c>
      <c r="P53" s="2">
        <f>$B$3+$B$4*$E53+('Станд.норм.распр.'!J53*$B$5*$S53)</f>
        <v>2472.2066653753573</v>
      </c>
      <c r="Q53" s="2">
        <f>$B$3+$B$4*$E53+('Станд.норм.распр.'!K53*$B$5*$S53)</f>
        <v>2420.653724898817</v>
      </c>
      <c r="S53">
        <v>51</v>
      </c>
    </row>
    <row r="54" spans="3:19" x14ac:dyDescent="0.3">
      <c r="C54" s="4" t="s">
        <v>62</v>
      </c>
      <c r="D54" s="4" t="s">
        <v>5</v>
      </c>
      <c r="E54" s="4">
        <v>271</v>
      </c>
      <c r="F54" s="4" t="s">
        <v>280</v>
      </c>
      <c r="G54" s="4" t="s">
        <v>5</v>
      </c>
      <c r="H54" s="2">
        <f>$B$3+$B$4*$E54+('Станд.норм.распр.'!B54*$B$5*$S54)</f>
        <v>2258.975096255308</v>
      </c>
      <c r="I54" s="2">
        <f>$B$3+$B$4*$E54+('Станд.норм.распр.'!C54*$B$5*$S54)</f>
        <v>3137.2697505404358</v>
      </c>
      <c r="J54" s="2">
        <f>$B$3+$B$4*$E54+('Станд.норм.распр.'!D54*$B$5*$S54)</f>
        <v>2950.3776615357492</v>
      </c>
      <c r="K54" s="2">
        <f>$B$3+$B$4*$E54+('Станд.норм.распр.'!E54*$B$5*$S54)</f>
        <v>3572.0172538177576</v>
      </c>
      <c r="L54" s="2">
        <f>$B$3+$B$4*$E54+('Станд.норм.распр.'!F54*$B$5*$S54)</f>
        <v>3193.1812192752841</v>
      </c>
      <c r="M54" s="2">
        <f>$B$3+$B$4*$E54+('Станд.норм.распр.'!G54*$B$5*$S54)</f>
        <v>2701.4310036876122</v>
      </c>
      <c r="N54" s="2">
        <f>$B$3+$B$4*$E54+('Станд.норм.распр.'!H54*$B$5*$S54)</f>
        <v>2822.4558220145991</v>
      </c>
      <c r="O54" s="2">
        <f>$B$3+$B$4*$E54+('Станд.норм.распр.'!I54*$B$5*$S54)</f>
        <v>2606.7354294256074</v>
      </c>
      <c r="P54" s="2">
        <f>$B$3+$B$4*$E54+('Станд.норм.распр.'!J54*$B$5*$S54)</f>
        <v>3357.8227932495065</v>
      </c>
      <c r="Q54" s="2">
        <f>$B$3+$B$4*$E54+('Станд.норм.распр.'!K54*$B$5*$S54)</f>
        <v>2748.0423222989753</v>
      </c>
      <c r="S54">
        <v>52</v>
      </c>
    </row>
    <row r="55" spans="3:19" x14ac:dyDescent="0.3">
      <c r="C55" s="4" t="s">
        <v>63</v>
      </c>
      <c r="D55" s="4" t="s">
        <v>5</v>
      </c>
      <c r="E55" s="4">
        <v>323</v>
      </c>
      <c r="F55" s="4" t="s">
        <v>281</v>
      </c>
      <c r="G55" s="4" t="s">
        <v>5</v>
      </c>
      <c r="H55" s="2">
        <f>$B$3+$B$4*$E55+('Станд.норм.распр.'!B55*$B$5*$S55)</f>
        <v>3683.4733180303301</v>
      </c>
      <c r="I55" s="2">
        <f>$B$3+$B$4*$E55+('Станд.норм.распр.'!C55*$B$5*$S55)</f>
        <v>3235.96463320154</v>
      </c>
      <c r="J55" s="2">
        <f>$B$3+$B$4*$E55+('Станд.норм.распр.'!D55*$B$5*$S55)</f>
        <v>3826.2323335193214</v>
      </c>
      <c r="K55" s="2">
        <f>$B$3+$B$4*$E55+('Станд.норм.распр.'!E55*$B$5*$S55)</f>
        <v>3704.761305722961</v>
      </c>
      <c r="L55" s="2">
        <f>$B$3+$B$4*$E55+('Станд.норм.распр.'!F55*$B$5*$S55)</f>
        <v>4266.1826330704498</v>
      </c>
      <c r="M55" s="2">
        <f>$B$3+$B$4*$E55+('Станд.норм.распр.'!G55*$B$5*$S55)</f>
        <v>3243.6748586196627</v>
      </c>
      <c r="N55" s="2">
        <f>$B$3+$B$4*$E55+('Станд.норм.распр.'!H55*$B$5*$S55)</f>
        <v>2769.0670470083132</v>
      </c>
      <c r="O55" s="2">
        <f>$B$3+$B$4*$E55+('Станд.норм.распр.'!I55*$B$5*$S55)</f>
        <v>4017.4641447056201</v>
      </c>
      <c r="P55" s="2">
        <f>$B$3+$B$4*$E55+('Станд.норм.распр.'!J55*$B$5*$S55)</f>
        <v>3521.8492496614926</v>
      </c>
      <c r="Q55" s="2">
        <f>$B$3+$B$4*$E55+('Станд.норм.распр.'!K55*$B$5*$S55)</f>
        <v>3299.8643871696841</v>
      </c>
      <c r="S55">
        <v>53</v>
      </c>
    </row>
    <row r="56" spans="3:19" x14ac:dyDescent="0.3">
      <c r="C56" s="4" t="s">
        <v>64</v>
      </c>
      <c r="D56" s="4" t="s">
        <v>5</v>
      </c>
      <c r="E56" s="4">
        <v>383</v>
      </c>
      <c r="F56" s="4" t="s">
        <v>282</v>
      </c>
      <c r="G56" s="4" t="s">
        <v>5</v>
      </c>
      <c r="H56" s="2">
        <f>$B$3+$B$4*$E56+('Станд.норм.распр.'!B56*$B$5*$S56)</f>
        <v>3306.0850461053196</v>
      </c>
      <c r="I56" s="2">
        <f>$B$3+$B$4*$E56+('Станд.норм.распр.'!C56*$B$5*$S56)</f>
        <v>5014.3293543525506</v>
      </c>
      <c r="J56" s="2">
        <f>$B$3+$B$4*$E56+('Станд.норм.распр.'!D56*$B$5*$S56)</f>
        <v>4981.5031530753477</v>
      </c>
      <c r="K56" s="2">
        <f>$B$3+$B$4*$E56+('Станд.норм.распр.'!E56*$B$5*$S56)</f>
        <v>4323.0016654971696</v>
      </c>
      <c r="L56" s="2">
        <f>$B$3+$B$4*$E56+('Станд.норм.распр.'!F56*$B$5*$S56)</f>
        <v>4179.8398234360793</v>
      </c>
      <c r="M56" s="2">
        <f>$B$3+$B$4*$E56+('Станд.норм.распр.'!G56*$B$5*$S56)</f>
        <v>4042.4761055957351</v>
      </c>
      <c r="N56" s="2">
        <f>$B$3+$B$4*$E56+('Станд.норм.распр.'!H56*$B$5*$S56)</f>
        <v>3834.7155128659797</v>
      </c>
      <c r="O56" s="2">
        <f>$B$3+$B$4*$E56+('Станд.норм.распр.'!I56*$B$5*$S56)</f>
        <v>4698.4249598691822</v>
      </c>
      <c r="P56" s="2">
        <f>$B$3+$B$4*$E56+('Станд.норм.распр.'!J56*$B$5*$S56)</f>
        <v>4183.2007906206418</v>
      </c>
      <c r="Q56" s="2">
        <f>$B$3+$B$4*$E56+('Станд.норм.распр.'!K56*$B$5*$S56)</f>
        <v>3625.7962898245314</v>
      </c>
      <c r="S56">
        <v>54</v>
      </c>
    </row>
    <row r="57" spans="3:19" x14ac:dyDescent="0.3">
      <c r="C57" s="4" t="s">
        <v>65</v>
      </c>
      <c r="D57" s="4" t="s">
        <v>5</v>
      </c>
      <c r="E57" s="4">
        <v>294</v>
      </c>
      <c r="F57" s="4" t="s">
        <v>283</v>
      </c>
      <c r="G57" s="4" t="s">
        <v>5</v>
      </c>
      <c r="H57" s="2">
        <f>$B$3+$B$4*$E57+('Станд.норм.распр.'!B57*$B$5*$S57)</f>
        <v>3085.1008018693828</v>
      </c>
      <c r="I57" s="2">
        <f>$B$3+$B$4*$E57+('Станд.норм.распр.'!C57*$B$5*$S57)</f>
        <v>3205.0621866951114</v>
      </c>
      <c r="J57" s="2">
        <f>$B$3+$B$4*$E57+('Станд.норм.распр.'!D57*$B$5*$S57)</f>
        <v>3647.9688260591938</v>
      </c>
      <c r="K57" s="2">
        <f>$B$3+$B$4*$E57+('Станд.норм.распр.'!E57*$B$5*$S57)</f>
        <v>4148.2106708067004</v>
      </c>
      <c r="L57" s="2">
        <f>$B$3+$B$4*$E57+('Станд.норм.распр.'!F57*$B$5*$S57)</f>
        <v>3434.3140937530261</v>
      </c>
      <c r="M57" s="2">
        <f>$B$3+$B$4*$E57+('Станд.норм.распр.'!G57*$B$5*$S57)</f>
        <v>3579.582339185843</v>
      </c>
      <c r="N57" s="2">
        <f>$B$3+$B$4*$E57+('Станд.норм.распр.'!H57*$B$5*$S57)</f>
        <v>3226.5359354957513</v>
      </c>
      <c r="O57" s="2">
        <f>$B$3+$B$4*$E57+('Станд.норм.распр.'!I57*$B$5*$S57)</f>
        <v>3199.5100967073522</v>
      </c>
      <c r="P57" s="2">
        <f>$B$3+$B$4*$E57+('Станд.норм.распр.'!J57*$B$5*$S57)</f>
        <v>2959.2515354721122</v>
      </c>
      <c r="Q57" s="2">
        <f>$B$3+$B$4*$E57+('Станд.норм.распр.'!K57*$B$5*$S57)</f>
        <v>3759.6791726322845</v>
      </c>
      <c r="S57">
        <v>55</v>
      </c>
    </row>
    <row r="58" spans="3:19" x14ac:dyDescent="0.3">
      <c r="C58" s="4" t="s">
        <v>66</v>
      </c>
      <c r="D58" s="4" t="s">
        <v>5</v>
      </c>
      <c r="E58" s="4">
        <v>331</v>
      </c>
      <c r="F58" s="4" t="s">
        <v>284</v>
      </c>
      <c r="G58" s="4" t="s">
        <v>5</v>
      </c>
      <c r="H58" s="2">
        <f>$B$3+$B$4*$E58+('Станд.норм.распр.'!B58*$B$5*$S58)</f>
        <v>3746.0399103304371</v>
      </c>
      <c r="I58" s="2">
        <f>$B$3+$B$4*$E58+('Станд.норм.распр.'!C58*$B$5*$S58)</f>
        <v>3589.9115751101635</v>
      </c>
      <c r="J58" s="2">
        <f>$B$3+$B$4*$E58+('Станд.норм.распр.'!D58*$B$5*$S58)</f>
        <v>3973.0311796313617</v>
      </c>
      <c r="K58" s="2">
        <f>$B$3+$B$4*$E58+('Станд.норм.распр.'!E58*$B$5*$S58)</f>
        <v>3564.2345478857169</v>
      </c>
      <c r="L58" s="2">
        <f>$B$3+$B$4*$E58+('Станд.норм.распр.'!F58*$B$5*$S58)</f>
        <v>4486.9051994476467</v>
      </c>
      <c r="M58" s="2">
        <f>$B$3+$B$4*$E58+('Станд.норм.распр.'!G58*$B$5*$S58)</f>
        <v>3441.1099564033793</v>
      </c>
      <c r="N58" s="2">
        <f>$B$3+$B$4*$E58+('Станд.норм.распр.'!H58*$B$5*$S58)</f>
        <v>3187.0481684757397</v>
      </c>
      <c r="O58" s="2">
        <f>$B$3+$B$4*$E58+('Станд.норм.распр.'!I58*$B$5*$S58)</f>
        <v>3379.7522151155863</v>
      </c>
      <c r="P58" s="2">
        <f>$B$3+$B$4*$E58+('Станд.норм.распр.'!J58*$B$5*$S58)</f>
        <v>4039.9256427201908</v>
      </c>
      <c r="Q58" s="2">
        <f>$B$3+$B$4*$E58+('Станд.норм.распр.'!K58*$B$5*$S58)</f>
        <v>3616.3489490002394</v>
      </c>
      <c r="S58">
        <v>56</v>
      </c>
    </row>
    <row r="59" spans="3:19" x14ac:dyDescent="0.3">
      <c r="C59" s="4" t="s">
        <v>67</v>
      </c>
      <c r="D59" s="4" t="s">
        <v>5</v>
      </c>
      <c r="E59" s="4">
        <v>908</v>
      </c>
      <c r="F59" s="4" t="s">
        <v>285</v>
      </c>
      <c r="G59" s="4" t="s">
        <v>5</v>
      </c>
      <c r="H59" s="2">
        <f>$B$3+$B$4*$E59+('Станд.норм.распр.'!B59*$B$5*$S59)</f>
        <v>9807.1402121745923</v>
      </c>
      <c r="I59" s="2">
        <f>$B$3+$B$4*$E59+('Станд.норм.распр.'!C59*$B$5*$S59)</f>
        <v>9391.33116482076</v>
      </c>
      <c r="J59" s="2">
        <f>$B$3+$B$4*$E59+('Станд.норм.распр.'!D59*$B$5*$S59)</f>
        <v>9953.2054444039677</v>
      </c>
      <c r="K59" s="2">
        <f>$B$3+$B$4*$E59+('Станд.норм.распр.'!E59*$B$5*$S59)</f>
        <v>9672.9083814039332</v>
      </c>
      <c r="L59" s="2">
        <f>$B$3+$B$4*$E59+('Станд.норм.распр.'!F59*$B$5*$S59)</f>
        <v>9773.2030199181754</v>
      </c>
      <c r="M59" s="2">
        <f>$B$3+$B$4*$E59+('Станд.норм.распр.'!G59*$B$5*$S59)</f>
        <v>9216.5280884869862</v>
      </c>
      <c r="N59" s="2">
        <f>$B$3+$B$4*$E59+('Станд.норм.распр.'!H59*$B$5*$S59)</f>
        <v>11237.871350218076</v>
      </c>
      <c r="O59" s="2">
        <f>$B$3+$B$4*$E59+('Станд.норм.распр.'!I59*$B$5*$S59)</f>
        <v>9578.6686652132194</v>
      </c>
      <c r="P59" s="2">
        <f>$B$3+$B$4*$E59+('Станд.норм.распр.'!J59*$B$5*$S59)</f>
        <v>10335.200357545138</v>
      </c>
      <c r="Q59" s="2">
        <f>$B$3+$B$4*$E59+('Станд.норм.распр.'!K59*$B$5*$S59)</f>
        <v>9614.7555823477451</v>
      </c>
      <c r="S59">
        <v>57</v>
      </c>
    </row>
    <row r="60" spans="3:19" x14ac:dyDescent="0.3">
      <c r="C60" s="4" t="s">
        <v>68</v>
      </c>
      <c r="D60" s="4" t="s">
        <v>5</v>
      </c>
      <c r="E60" s="4">
        <v>152</v>
      </c>
      <c r="F60" s="4" t="s">
        <v>286</v>
      </c>
      <c r="G60" s="4" t="s">
        <v>5</v>
      </c>
      <c r="H60" s="2">
        <f>$B$3+$B$4*$E60+('Станд.норм.распр.'!B60*$B$5*$S60)</f>
        <v>1204.7657168571604</v>
      </c>
      <c r="I60" s="2">
        <f>$B$3+$B$4*$E60+('Станд.норм.распр.'!C60*$B$5*$S60)</f>
        <v>909.20859695901163</v>
      </c>
      <c r="J60" s="2">
        <f>$B$3+$B$4*$E60+('Станд.норм.распр.'!D60*$B$5*$S60)</f>
        <v>2445.1162284370512</v>
      </c>
      <c r="K60" s="2">
        <f>$B$3+$B$4*$E60+('Станд.норм.распр.'!E60*$B$5*$S60)</f>
        <v>1434.8705685100285</v>
      </c>
      <c r="L60" s="2">
        <f>$B$3+$B$4*$E60+('Станд.норм.распр.'!F60*$B$5*$S60)</f>
        <v>1289.195178679016</v>
      </c>
      <c r="M60" s="2">
        <f>$B$3+$B$4*$E60+('Станд.норм.распр.'!G60*$B$5*$S60)</f>
        <v>1636.0686999454047</v>
      </c>
      <c r="N60" s="2">
        <f>$B$3+$B$4*$E60+('Станд.норм.распр.'!H60*$B$5*$S60)</f>
        <v>1349.6407283395552</v>
      </c>
      <c r="O60" s="2">
        <f>$B$3+$B$4*$E60+('Станд.норм.распр.'!I60*$B$5*$S60)</f>
        <v>1058.8209028631682</v>
      </c>
      <c r="P60" s="2">
        <f>$B$3+$B$4*$E60+('Станд.норм.распр.'!J60*$B$5*$S60)</f>
        <v>1017.0565969295567</v>
      </c>
      <c r="Q60" s="2">
        <f>$B$3+$B$4*$E60+('Станд.норм.распр.'!K60*$B$5*$S60)</f>
        <v>1180.1021304839524</v>
      </c>
      <c r="S60">
        <v>58</v>
      </c>
    </row>
    <row r="61" spans="3:19" x14ac:dyDescent="0.3">
      <c r="C61" s="4" t="s">
        <v>69</v>
      </c>
      <c r="D61" s="4" t="s">
        <v>5</v>
      </c>
      <c r="E61" s="4">
        <v>593</v>
      </c>
      <c r="F61" s="4" t="s">
        <v>287</v>
      </c>
      <c r="G61" s="4" t="s">
        <v>5</v>
      </c>
      <c r="H61" s="2">
        <f>$B$3+$B$4*$E61+('Станд.норм.распр.'!B61*$B$5*$S61)</f>
        <v>6904.6327185075934</v>
      </c>
      <c r="I61" s="2">
        <f>$B$3+$B$4*$E61+('Станд.норм.распр.'!C61*$B$5*$S61)</f>
        <v>6422.3568877166254</v>
      </c>
      <c r="J61" s="2">
        <f>$B$3+$B$4*$E61+('Станд.норм.распр.'!D61*$B$5*$S61)</f>
        <v>5879.0812961630872</v>
      </c>
      <c r="K61" s="2">
        <f>$B$3+$B$4*$E61+('Станд.норм.распр.'!E61*$B$5*$S61)</f>
        <v>6340.8810031175672</v>
      </c>
      <c r="L61" s="2">
        <f>$B$3+$B$4*$E61+('Станд.норм.распр.'!F61*$B$5*$S61)</f>
        <v>6214.4788644415821</v>
      </c>
      <c r="M61" s="2">
        <f>$B$3+$B$4*$E61+('Станд.норм.распр.'!G61*$B$5*$S61)</f>
        <v>7170.1703571049729</v>
      </c>
      <c r="N61" s="2">
        <f>$B$3+$B$4*$E61+('Станд.норм.распр.'!H61*$B$5*$S61)</f>
        <v>6980.5759024090657</v>
      </c>
      <c r="O61" s="2">
        <f>$B$3+$B$4*$E61+('Станд.норм.распр.'!I61*$B$5*$S61)</f>
        <v>6324.4332166247768</v>
      </c>
      <c r="P61" s="2">
        <f>$B$3+$B$4*$E61+('Станд.норм.распр.'!J61*$B$5*$S61)</f>
        <v>7146.253877428273</v>
      </c>
      <c r="Q61" s="2">
        <f>$B$3+$B$4*$E61+('Станд.норм.распр.'!K61*$B$5*$S61)</f>
        <v>6193.4264114104435</v>
      </c>
      <c r="S61">
        <v>59</v>
      </c>
    </row>
    <row r="62" spans="3:19" x14ac:dyDescent="0.3">
      <c r="C62" s="4" t="s">
        <v>70</v>
      </c>
      <c r="D62" s="4" t="s">
        <v>5</v>
      </c>
      <c r="E62" s="4">
        <v>392</v>
      </c>
      <c r="F62" s="4" t="s">
        <v>288</v>
      </c>
      <c r="G62" s="4" t="s">
        <v>5</v>
      </c>
      <c r="H62" s="2">
        <f>$B$3+$B$4*$E62+('Станд.норм.распр.'!B62*$B$5*$S62)</f>
        <v>4580.0072728152154</v>
      </c>
      <c r="I62" s="2">
        <f>$B$3+$B$4*$E62+('Станд.норм.распр.'!C62*$B$5*$S62)</f>
        <v>3509.7000379746314</v>
      </c>
      <c r="J62" s="2">
        <f>$B$3+$B$4*$E62+('Станд.норм.распр.'!D62*$B$5*$S62)</f>
        <v>4827.3769623474218</v>
      </c>
      <c r="K62" s="2">
        <f>$B$3+$B$4*$E62+('Станд.норм.распр.'!E62*$B$5*$S62)</f>
        <v>4392.7392669129185</v>
      </c>
      <c r="L62" s="2">
        <f>$B$3+$B$4*$E62+('Станд.норм.распр.'!F62*$B$5*$S62)</f>
        <v>4776.5887054628674</v>
      </c>
      <c r="M62" s="2">
        <f>$B$3+$B$4*$E62+('Станд.норм.распр.'!G62*$B$5*$S62)</f>
        <v>3832.7033069062745</v>
      </c>
      <c r="N62" s="2">
        <f>$B$3+$B$4*$E62+('Станд.норм.распр.'!H62*$B$5*$S62)</f>
        <v>5449.8462320761755</v>
      </c>
      <c r="O62" s="2">
        <f>$B$3+$B$4*$E62+('Станд.норм.распр.'!I62*$B$5*$S62)</f>
        <v>4428.501303445024</v>
      </c>
      <c r="P62" s="2">
        <f>$B$3+$B$4*$E62+('Станд.норм.распр.'!J62*$B$5*$S62)</f>
        <v>4604.1216153380228</v>
      </c>
      <c r="Q62" s="2">
        <f>$B$3+$B$4*$E62+('Станд.норм.распр.'!K62*$B$5*$S62)</f>
        <v>4750.5806394465035</v>
      </c>
      <c r="S62">
        <v>60</v>
      </c>
    </row>
    <row r="63" spans="3:19" x14ac:dyDescent="0.3">
      <c r="C63" s="4" t="s">
        <v>71</v>
      </c>
      <c r="D63" s="4" t="s">
        <v>5</v>
      </c>
      <c r="E63" s="4">
        <v>407</v>
      </c>
      <c r="F63" s="4" t="s">
        <v>289</v>
      </c>
      <c r="G63" s="4" t="s">
        <v>5</v>
      </c>
      <c r="H63" s="2">
        <f>$B$3+$B$4*$E63+('Станд.норм.распр.'!B63*$B$5*$S63)</f>
        <v>5427.0313561046496</v>
      </c>
      <c r="I63" s="2">
        <f>$B$3+$B$4*$E63+('Станд.норм.распр.'!C63*$B$5*$S63)</f>
        <v>4737.988718117791</v>
      </c>
      <c r="J63" s="2">
        <f>$B$3+$B$4*$E63+('Станд.норм.распр.'!D63*$B$5*$S63)</f>
        <v>4424.1220715248492</v>
      </c>
      <c r="K63" s="2">
        <f>$B$3+$B$4*$E63+('Станд.норм.распр.'!E63*$B$5*$S63)</f>
        <v>4837.119119285504</v>
      </c>
      <c r="L63" s="2">
        <f>$B$3+$B$4*$E63+('Станд.норм.распр.'!F63*$B$5*$S63)</f>
        <v>4818.0122988396906</v>
      </c>
      <c r="M63" s="2">
        <f>$B$3+$B$4*$E63+('Станд.норм.распр.'!G63*$B$5*$S63)</f>
        <v>5064.4068349738664</v>
      </c>
      <c r="N63" s="2">
        <f>$B$3+$B$4*$E63+('Станд.норм.распр.'!H63*$B$5*$S63)</f>
        <v>3659.1152641831432</v>
      </c>
      <c r="O63" s="2">
        <f>$B$3+$B$4*$E63+('Станд.норм.распр.'!I63*$B$5*$S63)</f>
        <v>4071.9306869887223</v>
      </c>
      <c r="P63" s="2">
        <f>$B$3+$B$4*$E63+('Станд.норм.распр.'!J63*$B$5*$S63)</f>
        <v>4068.1546355172177</v>
      </c>
      <c r="Q63" s="2">
        <f>$B$3+$B$4*$E63+('Станд.норм.распр.'!K63*$B$5*$S63)</f>
        <v>4366.1437658484065</v>
      </c>
      <c r="S63">
        <v>61</v>
      </c>
    </row>
    <row r="64" spans="3:19" x14ac:dyDescent="0.3">
      <c r="C64" s="4" t="s">
        <v>72</v>
      </c>
      <c r="D64" s="4" t="s">
        <v>5</v>
      </c>
      <c r="E64" s="4">
        <v>211</v>
      </c>
      <c r="F64" s="4" t="s">
        <v>290</v>
      </c>
      <c r="G64" s="4" t="s">
        <v>5</v>
      </c>
      <c r="H64" s="2">
        <f>$B$3+$B$4*$E64+('Станд.норм.распр.'!B64*$B$5*$S64)</f>
        <v>2207.3084172524977</v>
      </c>
      <c r="I64" s="2">
        <f>$B$3+$B$4*$E64+('Станд.норм.распр.'!C64*$B$5*$S64)</f>
        <v>2768.8080589150195</v>
      </c>
      <c r="J64" s="2">
        <f>$B$3+$B$4*$E64+('Станд.норм.распр.'!D64*$B$5*$S64)</f>
        <v>1608.1207021279261</v>
      </c>
      <c r="K64" s="2">
        <f>$B$3+$B$4*$E64+('Станд.норм.распр.'!E64*$B$5*$S64)</f>
        <v>1940.1665220875293</v>
      </c>
      <c r="L64" s="2">
        <f>$B$3+$B$4*$E64+('Станд.норм.распр.'!F64*$B$5*$S64)</f>
        <v>2108.2904739677906</v>
      </c>
      <c r="M64" s="2">
        <f>$B$3+$B$4*$E64+('Станд.норм.распр.'!G64*$B$5*$S64)</f>
        <v>3074.0161135845119</v>
      </c>
      <c r="N64" s="2">
        <f>$B$3+$B$4*$E64+('Станд.норм.распр.'!H64*$B$5*$S64)</f>
        <v>2579.4427764203283</v>
      </c>
      <c r="O64" s="2">
        <f>$B$3+$B$4*$E64+('Станд.норм.распр.'!I64*$B$5*$S64)</f>
        <v>2284.3688233087596</v>
      </c>
      <c r="P64" s="2">
        <f>$B$3+$B$4*$E64+('Станд.норм.распр.'!J64*$B$5*$S64)</f>
        <v>3033.2310333114583</v>
      </c>
      <c r="Q64" s="2">
        <f>$B$3+$B$4*$E64+('Станд.норм.распр.'!K64*$B$5*$S64)</f>
        <v>2467.3408991993347</v>
      </c>
      <c r="S64">
        <v>62</v>
      </c>
    </row>
    <row r="65" spans="3:19" x14ac:dyDescent="0.3">
      <c r="C65" s="4" t="s">
        <v>73</v>
      </c>
      <c r="D65" s="4" t="s">
        <v>5</v>
      </c>
      <c r="E65" s="4">
        <v>942</v>
      </c>
      <c r="F65" s="4" t="s">
        <v>291</v>
      </c>
      <c r="G65" s="4" t="s">
        <v>5</v>
      </c>
      <c r="H65" s="2">
        <f>$B$3+$B$4*$E65+('Станд.норм.распр.'!B65*$B$5*$S65)</f>
        <v>10261.43188692347</v>
      </c>
      <c r="I65" s="2">
        <f>$B$3+$B$4*$E65+('Станд.норм.распр.'!C65*$B$5*$S65)</f>
        <v>10103.221479588479</v>
      </c>
      <c r="J65" s="2">
        <f>$B$3+$B$4*$E65+('Станд.норм.распр.'!D65*$B$5*$S65)</f>
        <v>10389.599218391391</v>
      </c>
      <c r="K65" s="2">
        <f>$B$3+$B$4*$E65+('Станд.норм.распр.'!E65*$B$5*$S65)</f>
        <v>11302.866309782781</v>
      </c>
      <c r="L65" s="2">
        <f>$B$3+$B$4*$E65+('Станд.норм.распр.'!F65*$B$5*$S65)</f>
        <v>9511.0543859880418</v>
      </c>
      <c r="M65" s="2">
        <f>$B$3+$B$4*$E65+('Станд.норм.распр.'!G65*$B$5*$S65)</f>
        <v>10777.424792926264</v>
      </c>
      <c r="N65" s="2">
        <f>$B$3+$B$4*$E65+('Станд.норм.распр.'!H65*$B$5*$S65)</f>
        <v>10418.786259655259</v>
      </c>
      <c r="O65" s="2">
        <f>$B$3+$B$4*$E65+('Станд.норм.распр.'!I65*$B$5*$S65)</f>
        <v>9588.2625189949758</v>
      </c>
      <c r="P65" s="2">
        <f>$B$3+$B$4*$E65+('Станд.норм.распр.'!J65*$B$5*$S65)</f>
        <v>11556.038543679984</v>
      </c>
      <c r="Q65" s="2">
        <f>$B$3+$B$4*$E65+('Станд.норм.распр.'!K65*$B$5*$S65)</f>
        <v>10695.366656640341</v>
      </c>
      <c r="S65">
        <v>63</v>
      </c>
    </row>
    <row r="66" spans="3:19" x14ac:dyDescent="0.3">
      <c r="C66" s="4" t="s">
        <v>74</v>
      </c>
      <c r="D66" s="4" t="s">
        <v>5</v>
      </c>
      <c r="E66" s="4">
        <v>785</v>
      </c>
      <c r="F66" s="4" t="s">
        <v>292</v>
      </c>
      <c r="G66" s="4" t="s">
        <v>5</v>
      </c>
      <c r="H66" s="2">
        <f>$B$3+$B$4*$E66+('Станд.норм.распр.'!B66*$B$5*$S66)</f>
        <v>8064.9044581465423</v>
      </c>
      <c r="I66" s="2">
        <f>$B$3+$B$4*$E66+('Станд.норм.распр.'!C66*$B$5*$S66)</f>
        <v>8909.2580934762955</v>
      </c>
      <c r="J66" s="2">
        <f>$B$3+$B$4*$E66+('Станд.норм.распр.'!D66*$B$5*$S66)</f>
        <v>9464.8001583069563</v>
      </c>
      <c r="K66" s="2">
        <f>$B$3+$B$4*$E66+('Станд.норм.распр.'!E66*$B$5*$S66)</f>
        <v>8538.5880708005279</v>
      </c>
      <c r="L66" s="2">
        <f>$B$3+$B$4*$E66+('Станд.норм.распр.'!F66*$B$5*$S66)</f>
        <v>8927.8886398784834</v>
      </c>
      <c r="M66" s="2">
        <f>$B$3+$B$4*$E66+('Станд.норм.распр.'!G66*$B$5*$S66)</f>
        <v>9070.1007239073479</v>
      </c>
      <c r="N66" s="2">
        <f>$B$3+$B$4*$E66+('Станд.норм.распр.'!H66*$B$5*$S66)</f>
        <v>8961.5244984403253</v>
      </c>
      <c r="O66" s="2">
        <f>$B$3+$B$4*$E66+('Станд.норм.распр.'!I66*$B$5*$S66)</f>
        <v>7510.5332404151559</v>
      </c>
      <c r="P66" s="2">
        <f>$B$3+$B$4*$E66+('Станд.норм.распр.'!J66*$B$5*$S66)</f>
        <v>8441.8170341765508</v>
      </c>
      <c r="Q66" s="2">
        <f>$B$3+$B$4*$E66+('Станд.норм.распр.'!K66*$B$5*$S66)</f>
        <v>8308.7942663356662</v>
      </c>
      <c r="S66">
        <v>64</v>
      </c>
    </row>
    <row r="67" spans="3:19" x14ac:dyDescent="0.3">
      <c r="C67" s="4" t="s">
        <v>75</v>
      </c>
      <c r="D67" s="4" t="s">
        <v>5</v>
      </c>
      <c r="E67" s="4">
        <v>896</v>
      </c>
      <c r="F67" s="4" t="s">
        <v>293</v>
      </c>
      <c r="G67" s="4" t="s">
        <v>5</v>
      </c>
      <c r="H67" s="2">
        <f>$B$3+$B$4*$E67+('Станд.норм.распр.'!B67*$B$5*$S67)</f>
        <v>9881.8375453439512</v>
      </c>
      <c r="I67" s="2">
        <f>$B$3+$B$4*$E67+('Станд.норм.распр.'!C67*$B$5*$S67)</f>
        <v>10046.384679662078</v>
      </c>
      <c r="J67" s="2">
        <f>$B$3+$B$4*$E67+('Станд.норм.распр.'!D67*$B$5*$S67)</f>
        <v>9252.8594597289339</v>
      </c>
      <c r="K67" s="2">
        <f>$B$3+$B$4*$E67+('Станд.норм.распр.'!E67*$B$5*$S67)</f>
        <v>10600.744795873761</v>
      </c>
      <c r="L67" s="2">
        <f>$B$3+$B$4*$E67+('Станд.норм.распр.'!F67*$B$5*$S67)</f>
        <v>9814.5818787080498</v>
      </c>
      <c r="M67" s="2">
        <f>$B$3+$B$4*$E67+('Станд.норм.распр.'!G67*$B$5*$S67)</f>
        <v>9251.1382637431961</v>
      </c>
      <c r="N67" s="2">
        <f>$B$3+$B$4*$E67+('Станд.норм.распр.'!H67*$B$5*$S67)</f>
        <v>8959.553830344812</v>
      </c>
      <c r="O67" s="2">
        <f>$B$3+$B$4*$E67+('Станд.норм.распр.'!I67*$B$5*$S67)</f>
        <v>10442.130068121623</v>
      </c>
      <c r="P67" s="2">
        <f>$B$3+$B$4*$E67+('Станд.норм.распр.'!J67*$B$5*$S67)</f>
        <v>10678.422078080184</v>
      </c>
      <c r="Q67" s="2">
        <f>$B$3+$B$4*$E67+('Станд.норм.распр.'!K67*$B$5*$S67)</f>
        <v>9886.7617088209226</v>
      </c>
      <c r="S67">
        <v>65</v>
      </c>
    </row>
    <row r="68" spans="3:19" x14ac:dyDescent="0.3">
      <c r="C68" s="4" t="s">
        <v>76</v>
      </c>
      <c r="D68" s="4" t="s">
        <v>5</v>
      </c>
      <c r="E68" s="4">
        <v>920</v>
      </c>
      <c r="F68" s="4" t="s">
        <v>294</v>
      </c>
      <c r="G68" s="4" t="s">
        <v>5</v>
      </c>
      <c r="H68" s="2">
        <f>$B$3+$B$4*$E68+('Станд.норм.распр.'!B68*$B$5*$S68)</f>
        <v>10439.570465570781</v>
      </c>
      <c r="I68" s="2">
        <f>$B$3+$B$4*$E68+('Станд.норм.распр.'!C68*$B$5*$S68)</f>
        <v>10158.06701014479</v>
      </c>
      <c r="J68" s="2">
        <f>$B$3+$B$4*$E68+('Станд.норм.распр.'!D68*$B$5*$S68)</f>
        <v>9898.4270615637652</v>
      </c>
      <c r="K68" s="2">
        <f>$B$3+$B$4*$E68+('Станд.норм.распр.'!E68*$B$5*$S68)</f>
        <v>9598.2346837281366</v>
      </c>
      <c r="L68" s="2">
        <f>$B$3+$B$4*$E68+('Станд.норм.распр.'!F68*$B$5*$S68)</f>
        <v>9793.8190682561835</v>
      </c>
      <c r="M68" s="2">
        <f>$B$3+$B$4*$E68+('Станд.норм.распр.'!G68*$B$5*$S68)</f>
        <v>10265.549079469551</v>
      </c>
      <c r="N68" s="2">
        <f>$B$3+$B$4*$E68+('Станд.норм.распр.'!H68*$B$5*$S68)</f>
        <v>9951.9033786982473</v>
      </c>
      <c r="O68" s="2">
        <f>$B$3+$B$4*$E68+('Станд.норм.распр.'!I68*$B$5*$S68)</f>
        <v>10905.234258536424</v>
      </c>
      <c r="P68" s="2">
        <f>$B$3+$B$4*$E68+('Станд.норм.распр.'!J68*$B$5*$S68)</f>
        <v>10749.100889262976</v>
      </c>
      <c r="Q68" s="2">
        <f>$B$3+$B$4*$E68+('Станд.норм.распр.'!K68*$B$5*$S68)</f>
        <v>10054.034372280497</v>
      </c>
      <c r="S68">
        <v>66</v>
      </c>
    </row>
    <row r="69" spans="3:19" x14ac:dyDescent="0.3">
      <c r="C69" s="4" t="s">
        <v>77</v>
      </c>
      <c r="D69" s="4" t="s">
        <v>5</v>
      </c>
      <c r="E69" s="4">
        <v>147</v>
      </c>
      <c r="F69" s="4" t="s">
        <v>295</v>
      </c>
      <c r="G69" s="4" t="s">
        <v>5</v>
      </c>
      <c r="H69" s="2">
        <f>$B$3+$B$4*$E69+('Станд.норм.распр.'!B69*$B$5*$S69)</f>
        <v>924.31560451828409</v>
      </c>
      <c r="I69" s="2">
        <f>$B$3+$B$4*$E69+('Станд.норм.распр.'!C69*$B$5*$S69)</f>
        <v>2036.3137217852054</v>
      </c>
      <c r="J69" s="2">
        <f>$B$3+$B$4*$E69+('Станд.норм.распр.'!D69*$B$5*$S69)</f>
        <v>2305.3396420461067</v>
      </c>
      <c r="K69" s="2">
        <f>$B$3+$B$4*$E69+('Станд.норм.распр.'!E69*$B$5*$S69)</f>
        <v>1717.4866706251632</v>
      </c>
      <c r="L69" s="2">
        <f>$B$3+$B$4*$E69+('Станд.норм.распр.'!F69*$B$5*$S69)</f>
        <v>1828.3700409507728</v>
      </c>
      <c r="M69" s="2">
        <f>$B$3+$B$4*$E69+('Станд.норм.распр.'!G69*$B$5*$S69)</f>
        <v>1984.7384350238426</v>
      </c>
      <c r="N69" s="2">
        <f>$B$3+$B$4*$E69+('Станд.норм.распр.'!H69*$B$5*$S69)</f>
        <v>1944.6279792670393</v>
      </c>
      <c r="O69" s="2">
        <f>$B$3+$B$4*$E69+('Станд.норм.распр.'!I69*$B$5*$S69)</f>
        <v>1560.3779023901152</v>
      </c>
      <c r="P69" s="2">
        <f>$B$3+$B$4*$E69+('Станд.норм.распр.'!J69*$B$5*$S69)</f>
        <v>1946.9546736242191</v>
      </c>
      <c r="Q69" s="2">
        <f>$B$3+$B$4*$E69+('Станд.норм.распр.'!K69*$B$5*$S69)</f>
        <v>2916.0482380599715</v>
      </c>
      <c r="S69">
        <v>67</v>
      </c>
    </row>
    <row r="70" spans="3:19" x14ac:dyDescent="0.3">
      <c r="C70" s="4" t="s">
        <v>78</v>
      </c>
      <c r="D70" s="4" t="s">
        <v>5</v>
      </c>
      <c r="E70" s="4">
        <v>712</v>
      </c>
      <c r="F70" s="4" t="s">
        <v>296</v>
      </c>
      <c r="G70" s="4" t="s">
        <v>5</v>
      </c>
      <c r="H70" s="2">
        <f>$B$3+$B$4*$E70+('Станд.норм.распр.'!B70*$B$5*$S70)</f>
        <v>7308.8831427689875</v>
      </c>
      <c r="I70" s="2">
        <f>$B$3+$B$4*$E70+('Станд.норм.распр.'!C70*$B$5*$S70)</f>
        <v>7724.8703669561073</v>
      </c>
      <c r="J70" s="2">
        <f>$B$3+$B$4*$E70+('Станд.норм.распр.'!D70*$B$5*$S70)</f>
        <v>7359.4331402368844</v>
      </c>
      <c r="K70" s="2">
        <f>$B$3+$B$4*$E70+('Станд.норм.распр.'!E70*$B$5*$S70)</f>
        <v>7304.3272837189725</v>
      </c>
      <c r="L70" s="2">
        <f>$B$3+$B$4*$E70+('Станд.норм.распр.'!F70*$B$5*$S70)</f>
        <v>7864.0508868652396</v>
      </c>
      <c r="M70" s="2">
        <f>$B$3+$B$4*$E70+('Станд.норм.распр.'!G70*$B$5*$S70)</f>
        <v>6654.6470330017619</v>
      </c>
      <c r="N70" s="2">
        <f>$B$3+$B$4*$E70+('Станд.норм.распр.'!H70*$B$5*$S70)</f>
        <v>7209.0494373064721</v>
      </c>
      <c r="O70" s="2">
        <f>$B$3+$B$4*$E70+('Станд.норм.распр.'!I70*$B$5*$S70)</f>
        <v>7471.0669937580824</v>
      </c>
      <c r="P70" s="2">
        <f>$B$3+$B$4*$E70+('Станд.норм.распр.'!J70*$B$5*$S70)</f>
        <v>7547.1487266718177</v>
      </c>
      <c r="Q70" s="2">
        <f>$B$3+$B$4*$E70+('Станд.норм.распр.'!K70*$B$5*$S70)</f>
        <v>7622.4882902619429</v>
      </c>
      <c r="S70">
        <v>68</v>
      </c>
    </row>
    <row r="71" spans="3:19" x14ac:dyDescent="0.3">
      <c r="C71" s="4" t="s">
        <v>79</v>
      </c>
      <c r="D71" s="4" t="s">
        <v>5</v>
      </c>
      <c r="E71" s="4">
        <v>418</v>
      </c>
      <c r="F71" s="4" t="s">
        <v>297</v>
      </c>
      <c r="G71" s="4" t="s">
        <v>5</v>
      </c>
      <c r="H71" s="2">
        <f>$B$3+$B$4*$E71+('Станд.норм.распр.'!B71*$B$5*$S71)</f>
        <v>5274.0508005188603</v>
      </c>
      <c r="I71" s="2">
        <f>$B$3+$B$4*$E71+('Станд.норм.распр.'!C71*$B$5*$S71)</f>
        <v>4356.2856920315535</v>
      </c>
      <c r="J71" s="2">
        <f>$B$3+$B$4*$E71+('Станд.норм.распр.'!D71*$B$5*$S71)</f>
        <v>3812.2852786754374</v>
      </c>
      <c r="K71" s="2">
        <f>$B$3+$B$4*$E71+('Станд.норм.распр.'!E71*$B$5*$S71)</f>
        <v>3857.8925726168673</v>
      </c>
      <c r="L71" s="2">
        <f>$B$3+$B$4*$E71+('Станд.норм.распр.'!F71*$B$5*$S71)</f>
        <v>4733.5060206050111</v>
      </c>
      <c r="M71" s="2">
        <f>$B$3+$B$4*$E71+('Станд.норм.распр.'!G71*$B$5*$S71)</f>
        <v>4148.7075530339207</v>
      </c>
      <c r="N71" s="2">
        <f>$B$3+$B$4*$E71+('Станд.норм.распр.'!H71*$B$5*$S71)</f>
        <v>4374.0231170003535</v>
      </c>
      <c r="O71" s="2">
        <f>$B$3+$B$4*$E71+('Станд.норм.распр.'!I71*$B$5*$S71)</f>
        <v>5029.4719424554496</v>
      </c>
      <c r="P71" s="2">
        <f>$B$3+$B$4*$E71+('Станд.норм.распр.'!J71*$B$5*$S71)</f>
        <v>3959.7747489123431</v>
      </c>
      <c r="Q71" s="2">
        <f>$B$3+$B$4*$E71+('Станд.норм.распр.'!K71*$B$5*$S71)</f>
        <v>5476.3838873467757</v>
      </c>
      <c r="S71">
        <v>69</v>
      </c>
    </row>
    <row r="72" spans="3:19" x14ac:dyDescent="0.3">
      <c r="C72" s="4" t="s">
        <v>80</v>
      </c>
      <c r="D72" s="4" t="s">
        <v>5</v>
      </c>
      <c r="E72" s="4">
        <v>876</v>
      </c>
      <c r="F72" s="4" t="s">
        <v>298</v>
      </c>
      <c r="G72" s="4" t="s">
        <v>5</v>
      </c>
      <c r="H72" s="2">
        <f>$B$3+$B$4*$E72+('Станд.норм.распр.'!B72*$B$5*$S72)</f>
        <v>9934.2297021743434</v>
      </c>
      <c r="I72" s="2">
        <f>$B$3+$B$4*$E72+('Станд.норм.распр.'!C72*$B$5*$S72)</f>
        <v>8929.2005286901258</v>
      </c>
      <c r="J72" s="2">
        <f>$B$3+$B$4*$E72+('Станд.норм.распр.'!D72*$B$5*$S72)</f>
        <v>9134.8465121322079</v>
      </c>
      <c r="K72" s="2">
        <f>$B$3+$B$4*$E72+('Станд.норм.распр.'!E72*$B$5*$S72)</f>
        <v>9054.3698052337277</v>
      </c>
      <c r="L72" s="2">
        <f>$B$3+$B$4*$E72+('Станд.норм.распр.'!F72*$B$5*$S72)</f>
        <v>9357.0459357928485</v>
      </c>
      <c r="M72" s="2">
        <f>$B$3+$B$4*$E72+('Станд.норм.распр.'!G72*$B$5*$S72)</f>
        <v>8760.7295954861911</v>
      </c>
      <c r="N72" s="2">
        <f>$B$3+$B$4*$E72+('Станд.норм.распр.'!H72*$B$5*$S72)</f>
        <v>9246.3258243136806</v>
      </c>
      <c r="O72" s="2">
        <f>$B$3+$B$4*$E72+('Станд.норм.распр.'!I72*$B$5*$S72)</f>
        <v>8399.6623361948878</v>
      </c>
      <c r="P72" s="2">
        <f>$B$3+$B$4*$E72+('Станд.норм.распр.'!J72*$B$5*$S72)</f>
        <v>9878.7156576130656</v>
      </c>
      <c r="Q72" s="2">
        <f>$B$3+$B$4*$E72+('Станд.норм.распр.'!K72*$B$5*$S72)</f>
        <v>9910.5225859042548</v>
      </c>
      <c r="S72">
        <v>70</v>
      </c>
    </row>
    <row r="73" spans="3:19" x14ac:dyDescent="0.3">
      <c r="C73" s="4" t="s">
        <v>81</v>
      </c>
      <c r="D73" s="4" t="s">
        <v>5</v>
      </c>
      <c r="E73" s="4">
        <v>757</v>
      </c>
      <c r="F73" s="4" t="s">
        <v>299</v>
      </c>
      <c r="G73" s="4" t="s">
        <v>5</v>
      </c>
      <c r="H73" s="2">
        <f>$B$3+$B$4*$E73+('Станд.норм.распр.'!B73*$B$5*$S73)</f>
        <v>9124.1677271497028</v>
      </c>
      <c r="I73" s="2">
        <f>$B$3+$B$4*$E73+('Станд.норм.распр.'!C73*$B$5*$S73)</f>
        <v>8493.5069683339098</v>
      </c>
      <c r="J73" s="2">
        <f>$B$3+$B$4*$E73+('Станд.норм.распр.'!D73*$B$5*$S73)</f>
        <v>8354.7126380650443</v>
      </c>
      <c r="K73" s="2">
        <f>$B$3+$B$4*$E73+('Станд.норм.распр.'!E73*$B$5*$S73)</f>
        <v>7651.9551928682777</v>
      </c>
      <c r="L73" s="2">
        <f>$B$3+$B$4*$E73+('Станд.норм.распр.'!F73*$B$5*$S73)</f>
        <v>8341.512879978487</v>
      </c>
      <c r="M73" s="2">
        <f>$B$3+$B$4*$E73+('Станд.норм.распр.'!G73*$B$5*$S73)</f>
        <v>7891.4221965347824</v>
      </c>
      <c r="N73" s="2">
        <f>$B$3+$B$4*$E73+('Станд.норм.распр.'!H73*$B$5*$S73)</f>
        <v>9450.0121461165836</v>
      </c>
      <c r="O73" s="2">
        <f>$B$3+$B$4*$E73+('Станд.норм.распр.'!I73*$B$5*$S73)</f>
        <v>7379.0115104926517</v>
      </c>
      <c r="P73" s="2">
        <f>$B$3+$B$4*$E73+('Станд.норм.распр.'!J73*$B$5*$S73)</f>
        <v>8535.5093686117616</v>
      </c>
      <c r="Q73" s="2">
        <f>$B$3+$B$4*$E73+('Станд.норм.распр.'!K73*$B$5*$S73)</f>
        <v>7901.44732925875</v>
      </c>
      <c r="S73">
        <v>71</v>
      </c>
    </row>
    <row r="74" spans="3:19" x14ac:dyDescent="0.3">
      <c r="C74" s="4" t="s">
        <v>82</v>
      </c>
      <c r="D74" s="4" t="s">
        <v>5</v>
      </c>
      <c r="E74" s="4">
        <v>670</v>
      </c>
      <c r="F74" s="4" t="s">
        <v>300</v>
      </c>
      <c r="G74" s="4" t="s">
        <v>5</v>
      </c>
      <c r="H74" s="2">
        <f>$B$3+$B$4*$E74+('Станд.норм.распр.'!B74*$B$5*$S74)</f>
        <v>7187.4781765454682</v>
      </c>
      <c r="I74" s="2">
        <f>$B$3+$B$4*$E74+('Станд.норм.распр.'!C74*$B$5*$S74)</f>
        <v>8066.7384277130477</v>
      </c>
      <c r="J74" s="2">
        <f>$B$3+$B$4*$E74+('Станд.норм.распр.'!D74*$B$5*$S74)</f>
        <v>7333.5101656066254</v>
      </c>
      <c r="K74" s="2">
        <f>$B$3+$B$4*$E74+('Станд.норм.распр.'!E74*$B$5*$S74)</f>
        <v>7140.8957496696385</v>
      </c>
      <c r="L74" s="2">
        <f>$B$3+$B$4*$E74+('Станд.норм.распр.'!F74*$B$5*$S74)</f>
        <v>7445.3368683843873</v>
      </c>
      <c r="M74" s="2">
        <f>$B$3+$B$4*$E74+('Станд.норм.распр.'!G74*$B$5*$S74)</f>
        <v>8046.6857066294178</v>
      </c>
      <c r="N74" s="2">
        <f>$B$3+$B$4*$E74+('Станд.норм.распр.'!H74*$B$5*$S74)</f>
        <v>6736.273534896085</v>
      </c>
      <c r="O74" s="2">
        <f>$B$3+$B$4*$E74+('Станд.норм.распр.'!I74*$B$5*$S74)</f>
        <v>8022.3189247571863</v>
      </c>
      <c r="P74" s="2">
        <f>$B$3+$B$4*$E74+('Станд.норм.распр.'!J74*$B$5*$S74)</f>
        <v>7277.0126184859546</v>
      </c>
      <c r="Q74" s="2">
        <f>$B$3+$B$4*$E74+('Станд.норм.распр.'!K74*$B$5*$S74)</f>
        <v>8616.9962919466197</v>
      </c>
      <c r="S74">
        <v>72</v>
      </c>
    </row>
    <row r="75" spans="3:19" x14ac:dyDescent="0.3">
      <c r="C75" s="4" t="s">
        <v>83</v>
      </c>
      <c r="D75" s="4" t="s">
        <v>5</v>
      </c>
      <c r="E75" s="4">
        <v>823</v>
      </c>
      <c r="F75" s="4" t="s">
        <v>301</v>
      </c>
      <c r="G75" s="4" t="s">
        <v>5</v>
      </c>
      <c r="H75" s="2">
        <f>$B$3+$B$4*$E75+('Станд.норм.распр.'!B75*$B$5*$S75)</f>
        <v>9317.6373220967362</v>
      </c>
      <c r="I75" s="2">
        <f>$B$3+$B$4*$E75+('Станд.норм.распр.'!C75*$B$5*$S75)</f>
        <v>8407.5376221744518</v>
      </c>
      <c r="J75" s="2">
        <f>$B$3+$B$4*$E75+('Станд.норм.распр.'!D75*$B$5*$S75)</f>
        <v>8655.6085184793046</v>
      </c>
      <c r="K75" s="2">
        <f>$B$3+$B$4*$E75+('Станд.норм.распр.'!E75*$B$5*$S75)</f>
        <v>8449.6042987166147</v>
      </c>
      <c r="L75" s="2">
        <f>$B$3+$B$4*$E75+('Станд.норм.распр.'!F75*$B$5*$S75)</f>
        <v>9588.9987565396877</v>
      </c>
      <c r="M75" s="2">
        <f>$B$3+$B$4*$E75+('Станд.норм.распр.'!G75*$B$5*$S75)</f>
        <v>9135.7041745095485</v>
      </c>
      <c r="N75" s="2">
        <f>$B$3+$B$4*$E75+('Станд.норм.распр.'!H75*$B$5*$S75)</f>
        <v>8975.9150389863789</v>
      </c>
      <c r="O75" s="2">
        <f>$B$3+$B$4*$E75+('Станд.норм.распр.'!I75*$B$5*$S75)</f>
        <v>9717.4574798782414</v>
      </c>
      <c r="P75" s="2">
        <f>$B$3+$B$4*$E75+('Станд.норм.распр.'!J75*$B$5*$S75)</f>
        <v>9708.8170801225642</v>
      </c>
      <c r="Q75" s="2">
        <f>$B$3+$B$4*$E75+('Станд.норм.распр.'!K75*$B$5*$S75)</f>
        <v>8845.9507455753046</v>
      </c>
      <c r="S75">
        <v>73</v>
      </c>
    </row>
    <row r="76" spans="3:19" x14ac:dyDescent="0.3">
      <c r="C76" s="4" t="s">
        <v>84</v>
      </c>
      <c r="D76" s="4" t="s">
        <v>5</v>
      </c>
      <c r="E76" s="4">
        <v>634</v>
      </c>
      <c r="F76" s="4" t="s">
        <v>302</v>
      </c>
      <c r="G76" s="4" t="s">
        <v>5</v>
      </c>
      <c r="H76" s="2">
        <f>$B$3+$B$4*$E76+('Станд.норм.распр.'!B76*$B$5*$S76)</f>
        <v>7254.7750027285365</v>
      </c>
      <c r="I76" s="2">
        <f>$B$3+$B$4*$E76+('Станд.норм.распр.'!C76*$B$5*$S76)</f>
        <v>6594.0919693263713</v>
      </c>
      <c r="J76" s="2">
        <f>$B$3+$B$4*$E76+('Станд.норм.распр.'!D76*$B$5*$S76)</f>
        <v>7017.074726626277</v>
      </c>
      <c r="K76" s="2">
        <f>$B$3+$B$4*$E76+('Станд.норм.распр.'!E76*$B$5*$S76)</f>
        <v>6806.517676430929</v>
      </c>
      <c r="L76" s="2">
        <f>$B$3+$B$4*$E76+('Станд.норм.распр.'!F76*$B$5*$S76)</f>
        <v>6415.0840261378908</v>
      </c>
      <c r="M76" s="2">
        <f>$B$3+$B$4*$E76+('Станд.норм.распр.'!G76*$B$5*$S76)</f>
        <v>5949.2629906332586</v>
      </c>
      <c r="N76" s="2">
        <f>$B$3+$B$4*$E76+('Станд.норм.распр.'!H76*$B$5*$S76)</f>
        <v>6224.6369951923843</v>
      </c>
      <c r="O76" s="2">
        <f>$B$3+$B$4*$E76+('Станд.норм.распр.'!I76*$B$5*$S76)</f>
        <v>6727.2315026445431</v>
      </c>
      <c r="P76" s="2">
        <f>$B$3+$B$4*$E76+('Станд.норм.распр.'!J76*$B$5*$S76)</f>
        <v>6677.7938672191231</v>
      </c>
      <c r="Q76" s="2">
        <f>$B$3+$B$4*$E76+('Станд.норм.распр.'!K76*$B$5*$S76)</f>
        <v>6867.2742409012308</v>
      </c>
      <c r="S76">
        <v>74</v>
      </c>
    </row>
    <row r="77" spans="3:19" x14ac:dyDescent="0.3">
      <c r="C77" s="4" t="s">
        <v>85</v>
      </c>
      <c r="D77" s="4" t="s">
        <v>5</v>
      </c>
      <c r="E77" s="4">
        <v>407</v>
      </c>
      <c r="F77" s="4" t="s">
        <v>303</v>
      </c>
      <c r="G77" s="4" t="s">
        <v>5</v>
      </c>
      <c r="H77" s="2">
        <f>$B$3+$B$4*$E77+('Станд.норм.распр.'!B77*$B$5*$S77)</f>
        <v>4671.7209741855331</v>
      </c>
      <c r="I77" s="2">
        <f>$B$3+$B$4*$E77+('Станд.норм.распр.'!C77*$B$5*$S77)</f>
        <v>4474.5004302894959</v>
      </c>
      <c r="J77" s="2">
        <f>$B$3+$B$4*$E77+('Станд.норм.распр.'!D77*$B$5*$S77)</f>
        <v>3482.5983417187831</v>
      </c>
      <c r="K77" s="2">
        <f>$B$3+$B$4*$E77+('Станд.норм.распр.'!E77*$B$5*$S77)</f>
        <v>3173.5575888360618</v>
      </c>
      <c r="L77" s="2">
        <f>$B$3+$B$4*$E77+('Станд.норм.распр.'!F77*$B$5*$S77)</f>
        <v>4121.5250533623621</v>
      </c>
      <c r="M77" s="2">
        <f>$B$3+$B$4*$E77+('Станд.норм.распр.'!G77*$B$5*$S77)</f>
        <v>5008.5328965378867</v>
      </c>
      <c r="N77" s="2">
        <f>$B$3+$B$4*$E77+('Станд.норм.распр.'!H77*$B$5*$S77)</f>
        <v>4264.6088062083581</v>
      </c>
      <c r="O77" s="2">
        <f>$B$3+$B$4*$E77+('Станд.норм.распр.'!I77*$B$5*$S77)</f>
        <v>4324.2638710962783</v>
      </c>
      <c r="P77" s="2">
        <f>$B$3+$B$4*$E77+('Станд.норм.распр.'!J77*$B$5*$S77)</f>
        <v>4699.3898493765446</v>
      </c>
      <c r="Q77" s="2">
        <f>$B$3+$B$4*$E77+('Станд.норм.распр.'!K77*$B$5*$S77)</f>
        <v>4579.9423574790271</v>
      </c>
      <c r="S77">
        <v>75</v>
      </c>
    </row>
    <row r="78" spans="3:19" x14ac:dyDescent="0.3">
      <c r="C78" s="4" t="s">
        <v>86</v>
      </c>
      <c r="D78" s="4" t="s">
        <v>5</v>
      </c>
      <c r="E78" s="4">
        <v>923</v>
      </c>
      <c r="F78" s="4" t="s">
        <v>304</v>
      </c>
      <c r="G78" s="4" t="s">
        <v>5</v>
      </c>
      <c r="H78" s="2">
        <f>$B$3+$B$4*$E78+('Станд.норм.распр.'!B78*$B$5*$S78)</f>
        <v>9418.2907556374557</v>
      </c>
      <c r="I78" s="2">
        <f>$B$3+$B$4*$E78+('Станд.норм.распр.'!C78*$B$5*$S78)</f>
        <v>10424.00273909024</v>
      </c>
      <c r="J78" s="2">
        <f>$B$3+$B$4*$E78+('Станд.норм.распр.'!D78*$B$5*$S78)</f>
        <v>9926.4889828178566</v>
      </c>
      <c r="K78" s="2">
        <f>$B$3+$B$4*$E78+('Станд.норм.распр.'!E78*$B$5*$S78)</f>
        <v>10696.996414115885</v>
      </c>
      <c r="L78" s="2">
        <f>$B$3+$B$4*$E78+('Станд.норм.распр.'!F78*$B$5*$S78)</f>
        <v>9525.3703053445788</v>
      </c>
      <c r="M78" s="2">
        <f>$B$3+$B$4*$E78+('Станд.норм.распр.'!G78*$B$5*$S78)</f>
        <v>9136.2891540471464</v>
      </c>
      <c r="N78" s="2">
        <f>$B$3+$B$4*$E78+('Станд.норм.распр.'!H78*$B$5*$S78)</f>
        <v>10974.235340652171</v>
      </c>
      <c r="O78" s="2">
        <f>$B$3+$B$4*$E78+('Станд.норм.распр.'!I78*$B$5*$S78)</f>
        <v>10410.29644475074</v>
      </c>
      <c r="P78" s="2">
        <f>$B$3+$B$4*$E78+('Станд.норм.распр.'!J78*$B$5*$S78)</f>
        <v>10145.674604790285</v>
      </c>
      <c r="Q78" s="2">
        <f>$B$3+$B$4*$E78+('Станд.норм.распр.'!K78*$B$5*$S78)</f>
        <v>9520.1524887657724</v>
      </c>
      <c r="S78">
        <v>76</v>
      </c>
    </row>
    <row r="79" spans="3:19" x14ac:dyDescent="0.3">
      <c r="C79" s="4" t="s">
        <v>87</v>
      </c>
      <c r="D79" s="4" t="s">
        <v>5</v>
      </c>
      <c r="E79" s="4">
        <v>235</v>
      </c>
      <c r="F79" s="4" t="s">
        <v>305</v>
      </c>
      <c r="G79" s="4" t="s">
        <v>5</v>
      </c>
      <c r="H79" s="2">
        <f>$B$3+$B$4*$E79+('Станд.норм.распр.'!B79*$B$5*$S79)</f>
        <v>1120.6156346723437</v>
      </c>
      <c r="I79" s="2">
        <f>$B$3+$B$4*$E79+('Станд.норм.распр.'!C79*$B$5*$S79)</f>
        <v>3096.0544296156731</v>
      </c>
      <c r="J79" s="2">
        <f>$B$3+$B$4*$E79+('Станд.норм.распр.'!D79*$B$5*$S79)</f>
        <v>1961.6594618945091</v>
      </c>
      <c r="K79" s="2">
        <f>$B$3+$B$4*$E79+('Станд.норм.распр.'!E79*$B$5*$S79)</f>
        <v>2571.7175497810094</v>
      </c>
      <c r="L79" s="2">
        <f>$B$3+$B$4*$E79+('Станд.норм.распр.'!F79*$B$5*$S79)</f>
        <v>1654.1159953611204</v>
      </c>
      <c r="M79" s="2">
        <f>$B$3+$B$4*$E79+('Станд.норм.распр.'!G79*$B$5*$S79)</f>
        <v>2749.9756543782714</v>
      </c>
      <c r="N79" s="2">
        <f>$B$3+$B$4*$E79+('Станд.норм.распр.'!H79*$B$5*$S79)</f>
        <v>2242.8036578183528</v>
      </c>
      <c r="O79" s="2">
        <f>$B$3+$B$4*$E79+('Станд.норм.распр.'!I79*$B$5*$S79)</f>
        <v>3170.4227222597401</v>
      </c>
      <c r="P79" s="2">
        <f>$B$3+$B$4*$E79+('Станд.норм.распр.'!J79*$B$5*$S79)</f>
        <v>4032.1491820485098</v>
      </c>
      <c r="Q79" s="2">
        <f>$B$3+$B$4*$E79+('Станд.норм.распр.'!K79*$B$5*$S79)</f>
        <v>2826.052005357109</v>
      </c>
      <c r="S79">
        <v>77</v>
      </c>
    </row>
    <row r="80" spans="3:19" x14ac:dyDescent="0.3">
      <c r="C80" s="4" t="s">
        <v>88</v>
      </c>
      <c r="D80" s="4" t="s">
        <v>5</v>
      </c>
      <c r="E80" s="4">
        <v>314</v>
      </c>
      <c r="F80" s="4" t="s">
        <v>306</v>
      </c>
      <c r="G80" s="4" t="s">
        <v>5</v>
      </c>
      <c r="H80" s="2">
        <f>$B$3+$B$4*$E80+('Станд.норм.распр.'!B80*$B$5*$S80)</f>
        <v>4360.7901855702203</v>
      </c>
      <c r="I80" s="2">
        <f>$B$3+$B$4*$E80+('Станд.норм.распр.'!C80*$B$5*$S80)</f>
        <v>2970.9292404069565</v>
      </c>
      <c r="J80" s="2">
        <f>$B$3+$B$4*$E80+('Станд.норм.распр.'!D80*$B$5*$S80)</f>
        <v>3490.6926522373105</v>
      </c>
      <c r="K80" s="2">
        <f>$B$3+$B$4*$E80+('Станд.норм.распр.'!E80*$B$5*$S80)</f>
        <v>2804.2131863250397</v>
      </c>
      <c r="L80" s="2">
        <f>$B$3+$B$4*$E80+('Станд.норм.распр.'!F80*$B$5*$S80)</f>
        <v>3832.6073285392426</v>
      </c>
      <c r="M80" s="2">
        <f>$B$3+$B$4*$E80+('Станд.норм.распр.'!G80*$B$5*$S80)</f>
        <v>2943.2836937550455</v>
      </c>
      <c r="N80" s="2">
        <f>$B$3+$B$4*$E80+('Станд.норм.распр.'!H80*$B$5*$S80)</f>
        <v>2832.3982361390954</v>
      </c>
      <c r="O80" s="2">
        <f>$B$3+$B$4*$E80+('Станд.норм.распр.'!I80*$B$5*$S80)</f>
        <v>2099.302823923761</v>
      </c>
      <c r="P80" s="2">
        <f>$B$3+$B$4*$E80+('Станд.норм.распр.'!J80*$B$5*$S80)</f>
        <v>3533.3692677587969</v>
      </c>
      <c r="Q80" s="2">
        <f>$B$3+$B$4*$E80+('Станд.норм.распр.'!K80*$B$5*$S80)</f>
        <v>3610.1750448571402</v>
      </c>
      <c r="S80">
        <v>78</v>
      </c>
    </row>
    <row r="81" spans="3:19" x14ac:dyDescent="0.3">
      <c r="C81" s="4" t="s">
        <v>89</v>
      </c>
      <c r="D81" s="4" t="s">
        <v>5</v>
      </c>
      <c r="E81" s="4">
        <v>911</v>
      </c>
      <c r="F81" s="4" t="s">
        <v>307</v>
      </c>
      <c r="G81" s="4" t="s">
        <v>5</v>
      </c>
      <c r="H81" s="2">
        <f>$B$3+$B$4*$E81+('Станд.норм.распр.'!B81*$B$5*$S81)</f>
        <v>11112.8142448987</v>
      </c>
      <c r="I81" s="2">
        <f>$B$3+$B$4*$E81+('Станд.норм.распр.'!C81*$B$5*$S81)</f>
        <v>9036.378889715852</v>
      </c>
      <c r="J81" s="2">
        <f>$B$3+$B$4*$E81+('Станд.норм.распр.'!D81*$B$5*$S81)</f>
        <v>10152.6096020572</v>
      </c>
      <c r="K81" s="2">
        <f>$B$3+$B$4*$E81+('Станд.норм.распр.'!E81*$B$5*$S81)</f>
        <v>9096.7388857572223</v>
      </c>
      <c r="L81" s="2">
        <f>$B$3+$B$4*$E81+('Станд.норм.распр.'!F81*$B$5*$S81)</f>
        <v>9753.3787559151824</v>
      </c>
      <c r="M81" s="2">
        <f>$B$3+$B$4*$E81+('Станд.норм.распр.'!G81*$B$5*$S81)</f>
        <v>9281.225106617203</v>
      </c>
      <c r="N81" s="2">
        <f>$B$3+$B$4*$E81+('Станд.норм.распр.'!H81*$B$5*$S81)</f>
        <v>10084.725824737834</v>
      </c>
      <c r="O81" s="2">
        <f>$B$3+$B$4*$E81+('Станд.норм.распр.'!I81*$B$5*$S81)</f>
        <v>10765.055744497804</v>
      </c>
      <c r="P81" s="2">
        <f>$B$3+$B$4*$E81+('Станд.норм.распр.'!J81*$B$5*$S81)</f>
        <v>9711.3335252580873</v>
      </c>
      <c r="Q81" s="2">
        <f>$B$3+$B$4*$E81+('Станд.норм.распр.'!K81*$B$5*$S81)</f>
        <v>9966.9351604754047</v>
      </c>
      <c r="S81">
        <v>79</v>
      </c>
    </row>
    <row r="82" spans="3:19" x14ac:dyDescent="0.3">
      <c r="C82" s="4" t="s">
        <v>90</v>
      </c>
      <c r="D82" s="4" t="s">
        <v>5</v>
      </c>
      <c r="E82" s="4">
        <v>273</v>
      </c>
      <c r="F82" s="4" t="s">
        <v>308</v>
      </c>
      <c r="G82" s="4" t="s">
        <v>5</v>
      </c>
      <c r="H82" s="2">
        <f>$B$3+$B$4*$E82+('Станд.норм.распр.'!B82*$B$5*$S82)</f>
        <v>3375.2445060601458</v>
      </c>
      <c r="I82" s="2">
        <f>$B$3+$B$4*$E82+('Станд.норм.распр.'!C82*$B$5*$S82)</f>
        <v>1040.2852976769209</v>
      </c>
      <c r="J82" s="2">
        <f>$B$3+$B$4*$E82+('Станд.норм.распр.'!D82*$B$5*$S82)</f>
        <v>3073.6515154787339</v>
      </c>
      <c r="K82" s="2">
        <f>$B$3+$B$4*$E82+('Станд.норм.распр.'!E82*$B$5*$S82)</f>
        <v>3466.1668732953258</v>
      </c>
      <c r="L82" s="2">
        <f>$B$3+$B$4*$E82+('Станд.норм.распр.'!F82*$B$5*$S82)</f>
        <v>3183.3472176005598</v>
      </c>
      <c r="M82" s="2">
        <f>$B$3+$B$4*$E82+('Станд.норм.распр.'!G82*$B$5*$S82)</f>
        <v>1672.0777975935489</v>
      </c>
      <c r="N82" s="2">
        <f>$B$3+$B$4*$E82+('Станд.норм.распр.'!H82*$B$5*$S82)</f>
        <v>2871.2915818688925</v>
      </c>
      <c r="O82" s="2">
        <f>$B$3+$B$4*$E82+('Станд.норм.распр.'!I82*$B$5*$S82)</f>
        <v>3032.6710484588984</v>
      </c>
      <c r="P82" s="2">
        <f>$B$3+$B$4*$E82+('Станд.норм.распр.'!J82*$B$5*$S82)</f>
        <v>2835.454853084404</v>
      </c>
      <c r="Q82" s="2">
        <f>$B$3+$B$4*$E82+('Станд.норм.распр.'!K82*$B$5*$S82)</f>
        <v>2768.8323143571679</v>
      </c>
      <c r="S82">
        <v>80</v>
      </c>
    </row>
    <row r="83" spans="3:19" x14ac:dyDescent="0.3">
      <c r="C83" s="4" t="s">
        <v>91</v>
      </c>
      <c r="D83" s="4" t="s">
        <v>5</v>
      </c>
      <c r="E83" s="4">
        <v>403</v>
      </c>
      <c r="F83" s="4" t="s">
        <v>309</v>
      </c>
      <c r="G83" s="4" t="s">
        <v>5</v>
      </c>
      <c r="H83" s="2">
        <f>$B$3+$B$4*$E83+('Станд.норм.распр.'!B83*$B$5*$S83)</f>
        <v>5276.8975535581121</v>
      </c>
      <c r="I83" s="2">
        <f>$B$3+$B$4*$E83+('Станд.норм.распр.'!C83*$B$5*$S83)</f>
        <v>4718.5189634727722</v>
      </c>
      <c r="J83" s="2">
        <f>$B$3+$B$4*$E83+('Станд.норм.распр.'!D83*$B$5*$S83)</f>
        <v>5366.3242544824898</v>
      </c>
      <c r="K83" s="2">
        <f>$B$3+$B$4*$E83+('Станд.норм.распр.'!E83*$B$5*$S83)</f>
        <v>3010.0398350622272</v>
      </c>
      <c r="L83" s="2">
        <f>$B$3+$B$4*$E83+('Станд.норм.распр.'!F83*$B$5*$S83)</f>
        <v>5277.7495363624184</v>
      </c>
      <c r="M83" s="2">
        <f>$B$3+$B$4*$E83+('Станд.норм.распр.'!G83*$B$5*$S83)</f>
        <v>4409.7589033934782</v>
      </c>
      <c r="N83" s="2">
        <f>$B$3+$B$4*$E83+('Станд.норм.распр.'!H83*$B$5*$S83)</f>
        <v>5164.3844392127648</v>
      </c>
      <c r="O83" s="2">
        <f>$B$3+$B$4*$E83+('Станд.норм.распр.'!I83*$B$5*$S83)</f>
        <v>4711.1204707742872</v>
      </c>
      <c r="P83" s="2">
        <f>$B$3+$B$4*$E83+('Станд.норм.распр.'!J83*$B$5*$S83)</f>
        <v>4814.2698115690737</v>
      </c>
      <c r="Q83" s="2">
        <f>$B$3+$B$4*$E83+('Станд.норм.распр.'!K83*$B$5*$S83)</f>
        <v>4139.0739401036435</v>
      </c>
      <c r="S83">
        <v>81</v>
      </c>
    </row>
    <row r="84" spans="3:19" x14ac:dyDescent="0.3">
      <c r="C84" s="4" t="s">
        <v>92</v>
      </c>
      <c r="D84" s="4" t="s">
        <v>5</v>
      </c>
      <c r="E84" s="4">
        <v>692</v>
      </c>
      <c r="F84" s="4" t="s">
        <v>310</v>
      </c>
      <c r="G84" s="4" t="s">
        <v>5</v>
      </c>
      <c r="H84" s="2">
        <f>$B$3+$B$4*$E84+('Станд.норм.распр.'!B84*$B$5*$S84)</f>
        <v>7591.068705023441</v>
      </c>
      <c r="I84" s="2">
        <f>$B$3+$B$4*$E84+('Станд.норм.распр.'!C84*$B$5*$S84)</f>
        <v>8120.9246158503229</v>
      </c>
      <c r="J84" s="2">
        <f>$B$3+$B$4*$E84+('Станд.норм.распр.'!D84*$B$5*$S84)</f>
        <v>7837.1399362547672</v>
      </c>
      <c r="K84" s="2">
        <f>$B$3+$B$4*$E84+('Станд.норм.распр.'!E84*$B$5*$S84)</f>
        <v>8120.4296006215154</v>
      </c>
      <c r="L84" s="2">
        <f>$B$3+$B$4*$E84+('Станд.норм.распр.'!F84*$B$5*$S84)</f>
        <v>6815.4016557125724</v>
      </c>
      <c r="M84" s="2">
        <f>$B$3+$B$4*$E84+('Станд.норм.распр.'!G84*$B$5*$S84)</f>
        <v>7121.0626523859682</v>
      </c>
      <c r="N84" s="2">
        <f>$B$3+$B$4*$E84+('Станд.норм.распр.'!H84*$B$5*$S84)</f>
        <v>6936.0779784072074</v>
      </c>
      <c r="O84" s="2">
        <f>$B$3+$B$4*$E84+('Станд.норм.распр.'!I84*$B$5*$S84)</f>
        <v>8587.8833882996114</v>
      </c>
      <c r="P84" s="2">
        <f>$B$3+$B$4*$E84+('Станд.норм.распр.'!J84*$B$5*$S84)</f>
        <v>7288.2871867657523</v>
      </c>
      <c r="Q84" s="2">
        <f>$B$3+$B$4*$E84+('Станд.норм.распр.'!K84*$B$5*$S84)</f>
        <v>7390.6882184199058</v>
      </c>
      <c r="S84">
        <v>82</v>
      </c>
    </row>
    <row r="85" spans="3:19" x14ac:dyDescent="0.3">
      <c r="C85" s="4" t="s">
        <v>93</v>
      </c>
      <c r="D85" s="4" t="s">
        <v>5</v>
      </c>
      <c r="E85" s="4">
        <v>429</v>
      </c>
      <c r="F85" s="4" t="s">
        <v>311</v>
      </c>
      <c r="G85" s="4" t="s">
        <v>5</v>
      </c>
      <c r="H85" s="2">
        <f>$B$3+$B$4*$E85+('Станд.норм.распр.'!B85*$B$5*$S85)</f>
        <v>5274.6406088443182</v>
      </c>
      <c r="I85" s="2">
        <f>$B$3+$B$4*$E85+('Станд.норм.распр.'!C85*$B$5*$S85)</f>
        <v>3560.545114181703</v>
      </c>
      <c r="J85" s="2">
        <f>$B$3+$B$4*$E85+('Станд.норм.распр.'!D85*$B$5*$S85)</f>
        <v>5210.4499029736035</v>
      </c>
      <c r="K85" s="2">
        <f>$B$3+$B$4*$E85+('Станд.норм.распр.'!E85*$B$5*$S85)</f>
        <v>4916.4020167734707</v>
      </c>
      <c r="L85" s="2">
        <f>$B$3+$B$4*$E85+('Станд.норм.распр.'!F85*$B$5*$S85)</f>
        <v>3465.4505400465569</v>
      </c>
      <c r="M85" s="2">
        <f>$B$3+$B$4*$E85+('Станд.норм.распр.'!G85*$B$5*$S85)</f>
        <v>5344.3038216426503</v>
      </c>
      <c r="N85" s="2">
        <f>$B$3+$B$4*$E85+('Станд.норм.распр.'!H85*$B$5*$S85)</f>
        <v>4296.6176777225046</v>
      </c>
      <c r="O85" s="2">
        <f>$B$3+$B$4*$E85+('Станд.норм.распр.'!I85*$B$5*$S85)</f>
        <v>4947.6676615666365</v>
      </c>
      <c r="P85" s="2">
        <f>$B$3+$B$4*$E85+('Станд.норм.распр.'!J85*$B$5*$S85)</f>
        <v>5560.731109893648</v>
      </c>
      <c r="Q85" s="2">
        <f>$B$3+$B$4*$E85+('Станд.норм.распр.'!K85*$B$5*$S85)</f>
        <v>4876.3068166534213</v>
      </c>
      <c r="S85">
        <v>83</v>
      </c>
    </row>
    <row r="86" spans="3:19" x14ac:dyDescent="0.3">
      <c r="C86" s="4" t="s">
        <v>94</v>
      </c>
      <c r="D86" s="4" t="s">
        <v>5</v>
      </c>
      <c r="E86" s="4">
        <v>902</v>
      </c>
      <c r="F86" s="4" t="s">
        <v>312</v>
      </c>
      <c r="G86" s="4" t="s">
        <v>5</v>
      </c>
      <c r="H86" s="2">
        <f>$B$3+$B$4*$E86+('Станд.норм.распр.'!B86*$B$5*$S86)</f>
        <v>9663.146705481573</v>
      </c>
      <c r="I86" s="2">
        <f>$B$3+$B$4*$E86+('Станд.норм.распр.'!C86*$B$5*$S86)</f>
        <v>10202.751039816882</v>
      </c>
      <c r="J86" s="2">
        <f>$B$3+$B$4*$E86+('Станд.норм.распр.'!D86*$B$5*$S86)</f>
        <v>10953.464164760895</v>
      </c>
      <c r="K86" s="2">
        <f>$B$3+$B$4*$E86+('Станд.норм.распр.'!E86*$B$5*$S86)</f>
        <v>8752.58201047685</v>
      </c>
      <c r="L86" s="2">
        <f>$B$3+$B$4*$E86+('Станд.норм.распр.'!F86*$B$5*$S86)</f>
        <v>10246.549758069101</v>
      </c>
      <c r="M86" s="2">
        <f>$B$3+$B$4*$E86+('Станд.норм.распр.'!G86*$B$5*$S86)</f>
        <v>10015.696305874677</v>
      </c>
      <c r="N86" s="2">
        <f>$B$3+$B$4*$E86+('Станд.норм.распр.'!H86*$B$5*$S86)</f>
        <v>9840.5830827526515</v>
      </c>
      <c r="O86" s="2">
        <f>$B$3+$B$4*$E86+('Станд.норм.распр.'!I86*$B$5*$S86)</f>
        <v>8773.5840803200845</v>
      </c>
      <c r="P86" s="2">
        <f>$B$3+$B$4*$E86+('Станд.норм.распр.'!J86*$B$5*$S86)</f>
        <v>10047.177923827199</v>
      </c>
      <c r="Q86" s="2">
        <f>$B$3+$B$4*$E86+('Станд.норм.распр.'!K86*$B$5*$S86)</f>
        <v>9745.974069648888</v>
      </c>
      <c r="S86">
        <v>84</v>
      </c>
    </row>
    <row r="87" spans="3:19" x14ac:dyDescent="0.3">
      <c r="C87" s="4" t="s">
        <v>95</v>
      </c>
      <c r="D87" s="4" t="s">
        <v>5</v>
      </c>
      <c r="E87" s="4">
        <v>283</v>
      </c>
      <c r="F87" s="4" t="s">
        <v>313</v>
      </c>
      <c r="G87" s="4" t="s">
        <v>5</v>
      </c>
      <c r="H87" s="2">
        <f>$B$3+$B$4*$E87+('Станд.норм.распр.'!B87*$B$5*$S87)</f>
        <v>2935.1345324862923</v>
      </c>
      <c r="I87" s="2">
        <f>$B$3+$B$4*$E87+('Станд.норм.распр.'!C87*$B$5*$S87)</f>
        <v>3689.1020704893454</v>
      </c>
      <c r="J87" s="2">
        <f>$B$3+$B$4*$E87+('Станд.норм.распр.'!D87*$B$5*$S87)</f>
        <v>2228.0144867686904</v>
      </c>
      <c r="K87" s="2">
        <f>$B$3+$B$4*$E87+('Станд.норм.распр.'!E87*$B$5*$S87)</f>
        <v>4334.1669743818347</v>
      </c>
      <c r="L87" s="2">
        <f>$B$3+$B$4*$E87+('Станд.норм.распр.'!F87*$B$5*$S87)</f>
        <v>3194.2571873135139</v>
      </c>
      <c r="M87" s="2">
        <f>$B$3+$B$4*$E87+('Станд.норм.распр.'!G87*$B$5*$S87)</f>
        <v>3865.7859795926488</v>
      </c>
      <c r="N87" s="2">
        <f>$B$3+$B$4*$E87+('Станд.норм.распр.'!H87*$B$5*$S87)</f>
        <v>3089.6775093020115</v>
      </c>
      <c r="O87" s="2">
        <f>$B$3+$B$4*$E87+('Станд.норм.распр.'!I87*$B$5*$S87)</f>
        <v>2695.6284023577173</v>
      </c>
      <c r="P87" s="2">
        <f>$B$3+$B$4*$E87+('Станд.норм.распр.'!J87*$B$5*$S87)</f>
        <v>3426.910573176021</v>
      </c>
      <c r="Q87" s="2">
        <f>$B$3+$B$4*$E87+('Станд.норм.распр.'!K87*$B$5*$S87)</f>
        <v>3033.4638272987268</v>
      </c>
      <c r="S87">
        <v>85</v>
      </c>
    </row>
    <row r="88" spans="3:19" x14ac:dyDescent="0.3">
      <c r="C88" s="4" t="s">
        <v>96</v>
      </c>
      <c r="D88" s="4" t="s">
        <v>5</v>
      </c>
      <c r="E88" s="4">
        <v>677</v>
      </c>
      <c r="F88" s="4" t="s">
        <v>314</v>
      </c>
      <c r="G88" s="4" t="s">
        <v>5</v>
      </c>
      <c r="H88" s="2">
        <f>$B$3+$B$4*$E88+('Станд.норм.распр.'!B88*$B$5*$S88)</f>
        <v>8167.6098260111175</v>
      </c>
      <c r="I88" s="2">
        <f>$B$3+$B$4*$E88+('Станд.норм.распр.'!C88*$B$5*$S88)</f>
        <v>6398.7323117878404</v>
      </c>
      <c r="J88" s="2">
        <f>$B$3+$B$4*$E88+('Станд.норм.распр.'!D88*$B$5*$S88)</f>
        <v>7835.7595155800809</v>
      </c>
      <c r="K88" s="2">
        <f>$B$3+$B$4*$E88+('Станд.норм.распр.'!E88*$B$5*$S88)</f>
        <v>7291.1241975228731</v>
      </c>
      <c r="L88" s="2">
        <f>$B$3+$B$4*$E88+('Станд.норм.распр.'!F88*$B$5*$S88)</f>
        <v>7365.3403840914834</v>
      </c>
      <c r="M88" s="2">
        <f>$B$3+$B$4*$E88+('Станд.норм.распр.'!G88*$B$5*$S88)</f>
        <v>7978.8072115086252</v>
      </c>
      <c r="N88" s="2">
        <f>$B$3+$B$4*$E88+('Станд.норм.распр.'!H88*$B$5*$S88)</f>
        <v>7016.6868134372053</v>
      </c>
      <c r="O88" s="2">
        <f>$B$3+$B$4*$E88+('Станд.норм.распр.'!I88*$B$5*$S88)</f>
        <v>7446.6412023291341</v>
      </c>
      <c r="P88" s="2">
        <f>$B$3+$B$4*$E88+('Станд.норм.распр.'!J88*$B$5*$S88)</f>
        <v>8869.8410898693837</v>
      </c>
      <c r="Q88" s="2">
        <f>$B$3+$B$4*$E88+('Станд.норм.распр.'!K88*$B$5*$S88)</f>
        <v>6996.2142195770284</v>
      </c>
      <c r="S88">
        <v>86</v>
      </c>
    </row>
    <row r="89" spans="3:19" x14ac:dyDescent="0.3">
      <c r="C89" s="4" t="s">
        <v>97</v>
      </c>
      <c r="D89" s="4" t="s">
        <v>5</v>
      </c>
      <c r="E89" s="4">
        <v>316</v>
      </c>
      <c r="F89" s="4" t="s">
        <v>315</v>
      </c>
      <c r="G89" s="4" t="s">
        <v>5</v>
      </c>
      <c r="H89" s="2">
        <f>$B$3+$B$4*$E89+('Станд.норм.распр.'!B89*$B$5*$S89)</f>
        <v>3300.0417224122793</v>
      </c>
      <c r="I89" s="2">
        <f>$B$3+$B$4*$E89+('Станд.норм.распр.'!C89*$B$5*$S89)</f>
        <v>3601.0333175802225</v>
      </c>
      <c r="J89" s="2">
        <f>$B$3+$B$4*$E89+('Станд.норм.распр.'!D89*$B$5*$S89)</f>
        <v>4138.6671577476955</v>
      </c>
      <c r="K89" s="2">
        <f>$B$3+$B$4*$E89+('Станд.норм.распр.'!E89*$B$5*$S89)</f>
        <v>4040.2003409674217</v>
      </c>
      <c r="L89" s="2">
        <f>$B$3+$B$4*$E89+('Станд.норм.распр.'!F89*$B$5*$S89)</f>
        <v>3364.1836634508218</v>
      </c>
      <c r="M89" s="2">
        <f>$B$3+$B$4*$E89+('Станд.норм.распр.'!G89*$B$5*$S89)</f>
        <v>4735.234566340514</v>
      </c>
      <c r="N89" s="2">
        <f>$B$3+$B$4*$E89+('Станд.норм.распр.'!H89*$B$5*$S89)</f>
        <v>2624.0375072468305</v>
      </c>
      <c r="O89" s="2">
        <f>$B$3+$B$4*$E89+('Станд.норм.распр.'!I89*$B$5*$S89)</f>
        <v>4831.967335974914</v>
      </c>
      <c r="P89" s="2">
        <f>$B$3+$B$4*$E89+('Станд.норм.распр.'!J89*$B$5*$S89)</f>
        <v>3319.662804131658</v>
      </c>
      <c r="Q89" s="2">
        <f>$B$3+$B$4*$E89+('Станд.норм.распр.'!K89*$B$5*$S89)</f>
        <v>3600.851723320593</v>
      </c>
      <c r="S89">
        <v>87</v>
      </c>
    </row>
    <row r="90" spans="3:19" x14ac:dyDescent="0.3">
      <c r="C90" s="4" t="s">
        <v>98</v>
      </c>
      <c r="D90" s="4" t="s">
        <v>5</v>
      </c>
      <c r="E90" s="4">
        <v>305</v>
      </c>
      <c r="F90" s="4" t="s">
        <v>316</v>
      </c>
      <c r="G90" s="4" t="s">
        <v>5</v>
      </c>
      <c r="H90" s="2">
        <f>$B$3+$B$4*$E90+('Станд.норм.распр.'!B90*$B$5*$S90)</f>
        <v>2739.6574878160609</v>
      </c>
      <c r="I90" s="2">
        <f>$B$3+$B$4*$E90+('Станд.норм.распр.'!C90*$B$5*$S90)</f>
        <v>3885.1361514183227</v>
      </c>
      <c r="J90" s="2">
        <f>$B$3+$B$4*$E90+('Станд.норм.распр.'!D90*$B$5*$S90)</f>
        <v>3119.4650127666537</v>
      </c>
      <c r="K90" s="2">
        <f>$B$3+$B$4*$E90+('Станд.норм.распр.'!E90*$B$5*$S90)</f>
        <v>3155.7732767164762</v>
      </c>
      <c r="L90" s="2">
        <f>$B$3+$B$4*$E90+('Станд.норм.распр.'!F90*$B$5*$S90)</f>
        <v>3781.7621559746331</v>
      </c>
      <c r="M90" s="2">
        <f>$B$3+$B$4*$E90+('Станд.норм.распр.'!G90*$B$5*$S90)</f>
        <v>2407.3658587234095</v>
      </c>
      <c r="N90" s="2">
        <f>$B$3+$B$4*$E90+('Станд.норм.распр.'!H90*$B$5*$S90)</f>
        <v>3320.2271460844204</v>
      </c>
      <c r="O90" s="2">
        <f>$B$3+$B$4*$E90+('Станд.норм.распр.'!I90*$B$5*$S90)</f>
        <v>3686.6403242832748</v>
      </c>
      <c r="P90" s="2">
        <f>$B$3+$B$4*$E90+('Станд.норм.распр.'!J90*$B$5*$S90)</f>
        <v>4323.5822103973478</v>
      </c>
      <c r="Q90" s="2">
        <f>$B$3+$B$4*$E90+('Станд.норм.распр.'!K90*$B$5*$S90)</f>
        <v>4578.7338913008571</v>
      </c>
      <c r="S90">
        <v>88</v>
      </c>
    </row>
    <row r="91" spans="3:19" x14ac:dyDescent="0.3">
      <c r="C91" s="4" t="s">
        <v>99</v>
      </c>
      <c r="D91" s="4" t="s">
        <v>5</v>
      </c>
      <c r="E91" s="4">
        <v>970</v>
      </c>
      <c r="F91" s="4" t="s">
        <v>317</v>
      </c>
      <c r="G91" s="4" t="s">
        <v>5</v>
      </c>
      <c r="H91" s="2">
        <f>$B$3+$B$4*$E91+('Станд.норм.распр.'!B91*$B$5*$S91)</f>
        <v>10362.417746054038</v>
      </c>
      <c r="I91" s="2">
        <f>$B$3+$B$4*$E91+('Станд.норм.распр.'!C91*$B$5*$S91)</f>
        <v>10262.96402975166</v>
      </c>
      <c r="J91" s="2">
        <f>$B$3+$B$4*$E91+('Станд.норм.распр.'!D91*$B$5*$S91)</f>
        <v>10472.337350992151</v>
      </c>
      <c r="K91" s="2">
        <f>$B$3+$B$4*$E91+('Станд.норм.распр.'!E91*$B$5*$S91)</f>
        <v>10009.389562727651</v>
      </c>
      <c r="L91" s="2">
        <f>$B$3+$B$4*$E91+('Станд.норм.распр.'!F91*$B$5*$S91)</f>
        <v>10806.319675028848</v>
      </c>
      <c r="M91" s="2">
        <f>$B$3+$B$4*$E91+('Станд.норм.распр.'!G91*$B$5*$S91)</f>
        <v>9635.979623598163</v>
      </c>
      <c r="N91" s="2">
        <f>$B$3+$B$4*$E91+('Станд.норм.распр.'!H91*$B$5*$S91)</f>
        <v>10149.202470219083</v>
      </c>
      <c r="O91" s="2">
        <f>$B$3+$B$4*$E91+('Станд.норм.распр.'!I91*$B$5*$S91)</f>
        <v>11265.991921535518</v>
      </c>
      <c r="P91" s="2">
        <f>$B$3+$B$4*$E91+('Станд.норм.распр.'!J91*$B$5*$S91)</f>
        <v>10844.349470661458</v>
      </c>
      <c r="Q91" s="2">
        <f>$B$3+$B$4*$E91+('Станд.норм.распр.'!K91*$B$5*$S91)</f>
        <v>10583.520912549633</v>
      </c>
      <c r="S91">
        <v>89</v>
      </c>
    </row>
    <row r="92" spans="3:19" x14ac:dyDescent="0.3">
      <c r="C92" s="4" t="s">
        <v>100</v>
      </c>
      <c r="D92" s="4" t="s">
        <v>5</v>
      </c>
      <c r="E92" s="4">
        <v>362</v>
      </c>
      <c r="F92" s="4" t="s">
        <v>318</v>
      </c>
      <c r="G92" s="4" t="s">
        <v>5</v>
      </c>
      <c r="H92" s="2">
        <f>$B$3+$B$4*$E92+('Станд.норм.распр.'!B92*$B$5*$S92)</f>
        <v>2453.237052207347</v>
      </c>
      <c r="I92" s="2">
        <f>$B$3+$B$4*$E92+('Станд.норм.распр.'!C92*$B$5*$S92)</f>
        <v>2459.6462613707408</v>
      </c>
      <c r="J92" s="2">
        <f>$B$3+$B$4*$E92+('Станд.норм.распр.'!D92*$B$5*$S92)</f>
        <v>2843.3479334061267</v>
      </c>
      <c r="K92" s="2">
        <f>$B$3+$B$4*$E92+('Станд.норм.распр.'!E92*$B$5*$S92)</f>
        <v>4415.3777613181737</v>
      </c>
      <c r="L92" s="2">
        <f>$B$3+$B$4*$E92+('Станд.норм.распр.'!F92*$B$5*$S92)</f>
        <v>4216.1425218117947</v>
      </c>
      <c r="M92" s="2">
        <f>$B$3+$B$4*$E92+('Станд.норм.распр.'!G92*$B$5*$S92)</f>
        <v>5117.6116035939194</v>
      </c>
      <c r="N92" s="2">
        <f>$B$3+$B$4*$E92+('Станд.норм.распр.'!H92*$B$5*$S92)</f>
        <v>4938.2267735304122</v>
      </c>
      <c r="O92" s="2">
        <f>$B$3+$B$4*$E92+('Станд.норм.распр.'!I92*$B$5*$S92)</f>
        <v>4893.5397577160038</v>
      </c>
      <c r="P92" s="2">
        <f>$B$3+$B$4*$E92+('Станд.норм.распр.'!J92*$B$5*$S92)</f>
        <v>4274.2162146130504</v>
      </c>
      <c r="Q92" s="2">
        <f>$B$3+$B$4*$E92+('Станд.норм.распр.'!K92*$B$5*$S92)</f>
        <v>3873.6853999515879</v>
      </c>
      <c r="S92">
        <v>90</v>
      </c>
    </row>
    <row r="93" spans="3:19" x14ac:dyDescent="0.3">
      <c r="C93" s="4" t="s">
        <v>101</v>
      </c>
      <c r="D93" s="4" t="s">
        <v>5</v>
      </c>
      <c r="E93" s="4">
        <v>836</v>
      </c>
      <c r="F93" s="4" t="s">
        <v>319</v>
      </c>
      <c r="G93" s="4" t="s">
        <v>5</v>
      </c>
      <c r="H93" s="2">
        <f>$B$3+$B$4*$E93+('Станд.норм.распр.'!B93*$B$5*$S93)</f>
        <v>11194.662940230919</v>
      </c>
      <c r="I93" s="2">
        <f>$B$3+$B$4*$E93+('Станд.норм.распр.'!C93*$B$5*$S93)</f>
        <v>10251.061268551857</v>
      </c>
      <c r="J93" s="2">
        <f>$B$3+$B$4*$E93+('Станд.норм.распр.'!D93*$B$5*$S93)</f>
        <v>7853.1556504625942</v>
      </c>
      <c r="K93" s="2">
        <f>$B$3+$B$4*$E93+('Станд.норм.распр.'!E93*$B$5*$S93)</f>
        <v>9932.8483104881889</v>
      </c>
      <c r="L93" s="2">
        <f>$B$3+$B$4*$E93+('Станд.норм.распр.'!F93*$B$5*$S93)</f>
        <v>8844.5199940606108</v>
      </c>
      <c r="M93" s="2">
        <f>$B$3+$B$4*$E93+('Станд.норм.распр.'!G93*$B$5*$S93)</f>
        <v>10475.038081328385</v>
      </c>
      <c r="N93" s="2">
        <f>$B$3+$B$4*$E93+('Станд.норм.распр.'!H93*$B$5*$S93)</f>
        <v>8006.9393396269879</v>
      </c>
      <c r="O93" s="2">
        <f>$B$3+$B$4*$E93+('Станд.норм.распр.'!I93*$B$5*$S93)</f>
        <v>10258.617387503817</v>
      </c>
      <c r="P93" s="2">
        <f>$B$3+$B$4*$E93+('Станд.норм.распр.'!J93*$B$5*$S93)</f>
        <v>8836.1950718690059</v>
      </c>
      <c r="Q93" s="2">
        <f>$B$3+$B$4*$E93+('Станд.норм.распр.'!K93*$B$5*$S93)</f>
        <v>10253.593847498414</v>
      </c>
      <c r="S93">
        <v>91</v>
      </c>
    </row>
    <row r="94" spans="3:19" x14ac:dyDescent="0.3">
      <c r="C94" s="4" t="s">
        <v>102</v>
      </c>
      <c r="D94" s="4" t="s">
        <v>5</v>
      </c>
      <c r="E94" s="4">
        <v>66</v>
      </c>
      <c r="F94" s="4" t="s">
        <v>320</v>
      </c>
      <c r="G94" s="4" t="s">
        <v>5</v>
      </c>
      <c r="H94" s="2">
        <f>$B$3+$B$4*$E94+('Станд.норм.распр.'!B94*$B$5*$S94)</f>
        <v>1475.7600225077476</v>
      </c>
      <c r="I94" s="2">
        <f>$B$3+$B$4*$E94+('Станд.норм.распр.'!C94*$B$5*$S94)</f>
        <v>1586.5523296763422</v>
      </c>
      <c r="J94" s="2">
        <f>$B$3+$B$4*$E94+('Станд.норм.распр.'!D94*$B$5*$S94)</f>
        <v>-719.02233070821808</v>
      </c>
      <c r="K94" s="2">
        <f>$B$3+$B$4*$E94+('Станд.норм.распр.'!E94*$B$5*$S94)</f>
        <v>1340.2898862789152</v>
      </c>
      <c r="L94" s="2">
        <f>$B$3+$B$4*$E94+('Станд.норм.распр.'!F94*$B$5*$S94)</f>
        <v>1498.6982792417984</v>
      </c>
      <c r="M94" s="2">
        <f>$B$3+$B$4*$E94+('Станд.норм.распр.'!G94*$B$5*$S94)</f>
        <v>779.00106094079092</v>
      </c>
      <c r="N94" s="2">
        <f>$B$3+$B$4*$E94+('Станд.норм.распр.'!H94*$B$5*$S94)</f>
        <v>955.51870304392651</v>
      </c>
      <c r="O94" s="2">
        <f>$B$3+$B$4*$E94+('Станд.норм.распр.'!I94*$B$5*$S94)</f>
        <v>1256.6953405932873</v>
      </c>
      <c r="P94" s="2">
        <f>$B$3+$B$4*$E94+('Станд.норм.распр.'!J94*$B$5*$S94)</f>
        <v>-1894.3902572989464</v>
      </c>
      <c r="Q94" s="2">
        <f>$B$3+$B$4*$E94+('Станд.норм.распр.'!K94*$B$5*$S94)</f>
        <v>1127.6384653267451</v>
      </c>
      <c r="S94">
        <v>92</v>
      </c>
    </row>
    <row r="95" spans="3:19" x14ac:dyDescent="0.3">
      <c r="C95" s="4" t="s">
        <v>103</v>
      </c>
      <c r="D95" s="4" t="s">
        <v>5</v>
      </c>
      <c r="E95" s="4">
        <v>590</v>
      </c>
      <c r="F95" s="4" t="s">
        <v>321</v>
      </c>
      <c r="G95" s="4" t="s">
        <v>5</v>
      </c>
      <c r="H95" s="2">
        <f>$B$3+$B$4*$E95+('Станд.норм.распр.'!B95*$B$5*$S95)</f>
        <v>6345.5787763406115</v>
      </c>
      <c r="I95" s="2">
        <f>$B$3+$B$4*$E95+('Станд.норм.распр.'!C95*$B$5*$S95)</f>
        <v>6823.3745453700103</v>
      </c>
      <c r="J95" s="2">
        <f>$B$3+$B$4*$E95+('Станд.норм.распр.'!D95*$B$5*$S95)</f>
        <v>7209.0213571346831</v>
      </c>
      <c r="K95" s="2">
        <f>$B$3+$B$4*$E95+('Станд.норм.распр.'!E95*$B$5*$S95)</f>
        <v>5693.3308720136702</v>
      </c>
      <c r="L95" s="2">
        <f>$B$3+$B$4*$E95+('Станд.норм.распр.'!F95*$B$5*$S95)</f>
        <v>5730.6985873357044</v>
      </c>
      <c r="M95" s="2">
        <f>$B$3+$B$4*$E95+('Станд.норм.распр.'!G95*$B$5*$S95)</f>
        <v>4892.1735261093127</v>
      </c>
      <c r="N95" s="2">
        <f>$B$3+$B$4*$E95+('Станд.норм.распр.'!H95*$B$5*$S95)</f>
        <v>5829.6397715413186</v>
      </c>
      <c r="O95" s="2">
        <f>$B$3+$B$4*$E95+('Станд.норм.распр.'!I95*$B$5*$S95)</f>
        <v>6139.7309089489718</v>
      </c>
      <c r="P95" s="2">
        <f>$B$3+$B$4*$E95+('Станд.норм.распр.'!J95*$B$5*$S95)</f>
        <v>6071.3014586827776</v>
      </c>
      <c r="Q95" s="2">
        <f>$B$3+$B$4*$E95+('Станд.норм.распр.'!K95*$B$5*$S95)</f>
        <v>5816.8159007469676</v>
      </c>
      <c r="S95">
        <v>93</v>
      </c>
    </row>
    <row r="96" spans="3:19" x14ac:dyDescent="0.3">
      <c r="C96" s="4" t="s">
        <v>104</v>
      </c>
      <c r="D96" s="4" t="s">
        <v>5</v>
      </c>
      <c r="E96" s="4">
        <v>852</v>
      </c>
      <c r="F96" s="4" t="s">
        <v>322</v>
      </c>
      <c r="G96" s="4" t="s">
        <v>5</v>
      </c>
      <c r="H96" s="2">
        <f>$B$3+$B$4*$E96+('Станд.норм.распр.'!B96*$B$5*$S96)</f>
        <v>8777.615478998574</v>
      </c>
      <c r="I96" s="2">
        <f>$B$3+$B$4*$E96+('Станд.норм.распр.'!C96*$B$5*$S96)</f>
        <v>10272.070793058025</v>
      </c>
      <c r="J96" s="2">
        <f>$B$3+$B$4*$E96+('Станд.норм.распр.'!D96*$B$5*$S96)</f>
        <v>7745.6013206820398</v>
      </c>
      <c r="K96" s="2">
        <f>$B$3+$B$4*$E96+('Станд.норм.распр.'!E96*$B$5*$S96)</f>
        <v>8739.6151305306703</v>
      </c>
      <c r="L96" s="2">
        <f>$B$3+$B$4*$E96+('Станд.норм.распр.'!F96*$B$5*$S96)</f>
        <v>9841.4261454359221</v>
      </c>
      <c r="M96" s="2">
        <f>$B$3+$B$4*$E96+('Станд.норм.распр.'!G96*$B$5*$S96)</f>
        <v>9834.6330180952791</v>
      </c>
      <c r="N96" s="2">
        <f>$B$3+$B$4*$E96+('Станд.норм.распр.'!H96*$B$5*$S96)</f>
        <v>8733.5318046876055</v>
      </c>
      <c r="O96" s="2">
        <f>$B$3+$B$4*$E96+('Станд.норм.распр.'!I96*$B$5*$S96)</f>
        <v>7714.3309120452031</v>
      </c>
      <c r="P96" s="2">
        <f>$B$3+$B$4*$E96+('Станд.норм.распр.'!J96*$B$5*$S96)</f>
        <v>10119.490401216841</v>
      </c>
      <c r="Q96" s="2">
        <f>$B$3+$B$4*$E96+('Станд.норм.распр.'!K96*$B$5*$S96)</f>
        <v>10307.805162761302</v>
      </c>
      <c r="S96">
        <v>94</v>
      </c>
    </row>
    <row r="97" spans="3:22" x14ac:dyDescent="0.3">
      <c r="C97" s="4" t="s">
        <v>105</v>
      </c>
      <c r="D97" s="4" t="s">
        <v>5</v>
      </c>
      <c r="E97" s="4">
        <v>963</v>
      </c>
      <c r="F97" s="4" t="s">
        <v>323</v>
      </c>
      <c r="G97" s="4" t="s">
        <v>5</v>
      </c>
      <c r="H97" s="2">
        <f>$B$3+$B$4*$E97+('Станд.норм.распр.'!B97*$B$5*$S97)</f>
        <v>11197.040963288629</v>
      </c>
      <c r="I97" s="2">
        <f>$B$3+$B$4*$E97+('Станд.норм.распр.'!C97*$B$5*$S97)</f>
        <v>10043.40193578176</v>
      </c>
      <c r="J97" s="2">
        <f>$B$3+$B$4*$E97+('Станд.норм.распр.'!D97*$B$5*$S97)</f>
        <v>10844.943322645151</v>
      </c>
      <c r="K97" s="2">
        <f>$B$3+$B$4*$E97+('Станд.норм.распр.'!E97*$B$5*$S97)</f>
        <v>10890.02961254667</v>
      </c>
      <c r="L97" s="2">
        <f>$B$3+$B$4*$E97+('Станд.норм.распр.'!F97*$B$5*$S97)</f>
        <v>10627.899454966639</v>
      </c>
      <c r="M97" s="2">
        <f>$B$3+$B$4*$E97+('Станд.норм.распр.'!G97*$B$5*$S97)</f>
        <v>11165.5678479747</v>
      </c>
      <c r="N97" s="2">
        <f>$B$3+$B$4*$E97+('Станд.норм.распр.'!H97*$B$5*$S97)</f>
        <v>11566.951887580246</v>
      </c>
      <c r="O97" s="2">
        <f>$B$3+$B$4*$E97+('Станд.норм.распр.'!I97*$B$5*$S97)</f>
        <v>11380.341071180766</v>
      </c>
      <c r="P97" s="2">
        <f>$B$3+$B$4*$E97+('Станд.норм.распр.'!J97*$B$5*$S97)</f>
        <v>10269.261075172864</v>
      </c>
      <c r="Q97" s="2">
        <f>$B$3+$B$4*$E97+('Станд.норм.распр.'!K97*$B$5*$S97)</f>
        <v>10032.219789372932</v>
      </c>
      <c r="S97">
        <v>95</v>
      </c>
    </row>
    <row r="98" spans="3:22" x14ac:dyDescent="0.3">
      <c r="C98" s="4" t="s">
        <v>106</v>
      </c>
      <c r="D98" s="4" t="s">
        <v>5</v>
      </c>
      <c r="E98" s="4">
        <v>802</v>
      </c>
      <c r="F98" s="4" t="s">
        <v>324</v>
      </c>
      <c r="G98" s="4" t="s">
        <v>5</v>
      </c>
      <c r="H98" s="2">
        <f>$B$3+$B$4*$E98+('Станд.норм.распр.'!B98*$B$5*$S98)</f>
        <v>7974.7574846157804</v>
      </c>
      <c r="I98" s="2">
        <f>$B$3+$B$4*$E98+('Станд.норм.распр.'!C98*$B$5*$S98)</f>
        <v>10535.849963188171</v>
      </c>
      <c r="J98" s="2">
        <f>$B$3+$B$4*$E98+('Станд.норм.распр.'!D98*$B$5*$S98)</f>
        <v>8866.641422199551</v>
      </c>
      <c r="K98" s="2">
        <f>$B$3+$B$4*$E98+('Станд.норм.распр.'!E98*$B$5*$S98)</f>
        <v>8744.8205790016837</v>
      </c>
      <c r="L98" s="2">
        <f>$B$3+$B$4*$E98+('Станд.норм.распр.'!F98*$B$5*$S98)</f>
        <v>8994.7467282675207</v>
      </c>
      <c r="M98" s="2">
        <f>$B$3+$B$4*$E98+('Станд.норм.распр.'!G98*$B$5*$S98)</f>
        <v>10079.294245796278</v>
      </c>
      <c r="N98" s="2">
        <f>$B$3+$B$4*$E98+('Станд.норм.распр.'!H98*$B$5*$S98)</f>
        <v>9743.6736751012504</v>
      </c>
      <c r="O98" s="2">
        <f>$B$3+$B$4*$E98+('Станд.норм.распр.'!I98*$B$5*$S98)</f>
        <v>8476.6953141558915</v>
      </c>
      <c r="P98" s="2">
        <f>$B$3+$B$4*$E98+('Станд.норм.распр.'!J98*$B$5*$S98)</f>
        <v>8174.7994618387893</v>
      </c>
      <c r="Q98" s="2">
        <f>$B$3+$B$4*$E98+('Станд.норм.распр.'!K98*$B$5*$S98)</f>
        <v>8483.8166576707736</v>
      </c>
      <c r="S98">
        <v>96</v>
      </c>
    </row>
    <row r="99" spans="3:22" x14ac:dyDescent="0.3">
      <c r="C99" s="4" t="s">
        <v>107</v>
      </c>
      <c r="D99" s="4" t="s">
        <v>5</v>
      </c>
      <c r="E99" s="4">
        <v>686</v>
      </c>
      <c r="F99" s="4" t="s">
        <v>325</v>
      </c>
      <c r="G99" s="4" t="s">
        <v>5</v>
      </c>
      <c r="H99" s="2">
        <f>$B$3+$B$4*$E99+('Станд.норм.распр.'!B99*$B$5*$S99)</f>
        <v>6483.2121379245655</v>
      </c>
      <c r="I99" s="2">
        <f>$B$3+$B$4*$E99+('Станд.норм.распр.'!C99*$B$5*$S99)</f>
        <v>7827.6268525192427</v>
      </c>
      <c r="J99" s="2">
        <f>$B$3+$B$4*$E99+('Станд.норм.распр.'!D99*$B$5*$S99)</f>
        <v>5737.8431720158551</v>
      </c>
      <c r="K99" s="2">
        <f>$B$3+$B$4*$E99+('Станд.норм.распр.'!E99*$B$5*$S99)</f>
        <v>7742.1281455249846</v>
      </c>
      <c r="L99" s="2">
        <f>$B$3+$B$4*$E99+('Станд.норм.распр.'!F99*$B$5*$S99)</f>
        <v>6278.9902594764135</v>
      </c>
      <c r="M99" s="2">
        <f>$B$3+$B$4*$E99+('Станд.норм.распр.'!G99*$B$5*$S99)</f>
        <v>7459.234871918452</v>
      </c>
      <c r="N99" s="2">
        <f>$B$3+$B$4*$E99+('Станд.норм.распр.'!H99*$B$5*$S99)</f>
        <v>8027.5701234191365</v>
      </c>
      <c r="O99" s="2">
        <f>$B$3+$B$4*$E99+('Станд.норм.распр.'!I99*$B$5*$S99)</f>
        <v>6010.5942302348558</v>
      </c>
      <c r="P99" s="2">
        <f>$B$3+$B$4*$E99+('Станд.норм.распр.'!J99*$B$5*$S99)</f>
        <v>7915.706023356106</v>
      </c>
      <c r="Q99" s="2">
        <f>$B$3+$B$4*$E99+('Станд.норм.распр.'!K99*$B$5*$S99)</f>
        <v>6759.8636664902733</v>
      </c>
      <c r="S99">
        <v>97</v>
      </c>
    </row>
    <row r="100" spans="3:22" x14ac:dyDescent="0.3">
      <c r="C100" s="4" t="s">
        <v>108</v>
      </c>
      <c r="D100" s="4" t="s">
        <v>5</v>
      </c>
      <c r="E100" s="4">
        <v>256</v>
      </c>
      <c r="F100" s="4" t="s">
        <v>326</v>
      </c>
      <c r="G100" s="4" t="s">
        <v>5</v>
      </c>
      <c r="H100" s="2">
        <f>$B$3+$B$4*$E100+('Станд.норм.распр.'!B100*$B$5*$S100)</f>
        <v>1850.6815164128784</v>
      </c>
      <c r="I100" s="2">
        <f>$B$3+$B$4*$E100+('Станд.норм.распр.'!C100*$B$5*$S100)</f>
        <v>5346.1962548736483</v>
      </c>
      <c r="J100" s="2">
        <f>$B$3+$B$4*$E100+('Станд.норм.распр.'!D100*$B$5*$S100)</f>
        <v>3549.9915671662893</v>
      </c>
      <c r="K100" s="2">
        <f>$B$3+$B$4*$E100+('Станд.норм.распр.'!E100*$B$5*$S100)</f>
        <v>2661.6195978986798</v>
      </c>
      <c r="L100" s="2">
        <f>$B$3+$B$4*$E100+('Станд.норм.распр.'!F100*$B$5*$S100)</f>
        <v>1648.7742383161094</v>
      </c>
      <c r="M100" s="2">
        <f>$B$3+$B$4*$E100+('Станд.норм.распр.'!G100*$B$5*$S100)</f>
        <v>2004.5184979663463</v>
      </c>
      <c r="N100" s="2">
        <f>$B$3+$B$4*$E100+('Станд.норм.распр.'!H100*$B$5*$S100)</f>
        <v>2737.3598951326858</v>
      </c>
      <c r="O100" s="2">
        <f>$B$3+$B$4*$E100+('Станд.норм.распр.'!I100*$B$5*$S100)</f>
        <v>3422.2553327764035</v>
      </c>
      <c r="P100" s="2">
        <f>$B$3+$B$4*$E100+('Станд.норм.распр.'!J100*$B$5*$S100)</f>
        <v>1140.0593453855254</v>
      </c>
      <c r="Q100" s="2">
        <f>$B$3+$B$4*$E100+('Станд.норм.распр.'!K100*$B$5*$S100)</f>
        <v>2041.2360223472933</v>
      </c>
      <c r="S100">
        <v>98</v>
      </c>
    </row>
    <row r="101" spans="3:22" x14ac:dyDescent="0.3">
      <c r="C101" s="4" t="s">
        <v>109</v>
      </c>
      <c r="D101" s="4" t="s">
        <v>5</v>
      </c>
      <c r="E101" s="4">
        <v>240</v>
      </c>
      <c r="F101" s="4" t="s">
        <v>327</v>
      </c>
      <c r="G101" s="4" t="s">
        <v>5</v>
      </c>
      <c r="H101" s="2">
        <f>$B$3+$B$4*$E101+('Станд.норм.распр.'!B101*$B$5*$S101)</f>
        <v>3613.4416678737616</v>
      </c>
      <c r="I101" s="2">
        <f>$B$3+$B$4*$E101+('Станд.норм.распр.'!C101*$B$5*$S101)</f>
        <v>2003.2385533500055</v>
      </c>
      <c r="J101" s="2">
        <f>$B$3+$B$4*$E101+('Станд.норм.распр.'!D101*$B$5*$S101)</f>
        <v>1256.8979034486736</v>
      </c>
      <c r="K101" s="2">
        <f>$B$3+$B$4*$E101+('Станд.норм.распр.'!E101*$B$5*$S101)</f>
        <v>2925.0734497668454</v>
      </c>
      <c r="L101" s="2">
        <f>$B$3+$B$4*$E101+('Станд.норм.распр.'!F101*$B$5*$S101)</f>
        <v>2082.0845339744701</v>
      </c>
      <c r="M101" s="2">
        <f>$B$3+$B$4*$E101+('Станд.норм.распр.'!G101*$B$5*$S101)</f>
        <v>3261.3944307928859</v>
      </c>
      <c r="N101" s="2">
        <f>$B$3+$B$4*$E101+('Станд.норм.распр.'!H101*$B$5*$S101)</f>
        <v>2958.6122151317832</v>
      </c>
      <c r="O101" s="2">
        <f>$B$3+$B$4*$E101+('Станд.норм.распр.'!I101*$B$5*$S101)</f>
        <v>3730.1618386823102</v>
      </c>
      <c r="P101" s="2">
        <f>$B$3+$B$4*$E101+('Станд.норм.распр.'!J101*$B$5*$S101)</f>
        <v>3358.6503719720931</v>
      </c>
      <c r="Q101" s="2">
        <f>$B$3+$B$4*$E101+('Станд.норм.распр.'!K101*$B$5*$S101)</f>
        <v>2765.7688725571497</v>
      </c>
      <c r="S101">
        <v>99</v>
      </c>
    </row>
    <row r="102" spans="3:22" x14ac:dyDescent="0.3">
      <c r="C102" s="4" t="s">
        <v>110</v>
      </c>
      <c r="D102" s="4" t="s">
        <v>5</v>
      </c>
      <c r="E102" s="4">
        <v>629</v>
      </c>
      <c r="F102" s="4" t="s">
        <v>328</v>
      </c>
      <c r="G102" s="4" t="s">
        <v>5</v>
      </c>
      <c r="H102" s="2">
        <f>$B$3+$B$4*$E102+('Станд.норм.распр.'!B102*$B$5*$S102)</f>
        <v>8427.8100035999996</v>
      </c>
      <c r="I102" s="2">
        <f>$B$3+$B$4*$E102+('Станд.норм.распр.'!C102*$B$5*$S102)</f>
        <v>6727.0775529000002</v>
      </c>
      <c r="J102" s="2">
        <f>$B$3+$B$4*$E102+('Станд.норм.распр.'!D102*$B$5*$S102)</f>
        <v>5302.3479176999999</v>
      </c>
      <c r="K102" s="2">
        <f>$B$3+$B$4*$E102+('Станд.норм.распр.'!E102*$B$5*$S102)</f>
        <v>8241.4185455999996</v>
      </c>
      <c r="L102" s="2">
        <f>$B$3+$B$4*$E102+('Станд.норм.распр.'!F102*$B$5*$S102)</f>
        <v>5928.9619008</v>
      </c>
      <c r="M102" s="2">
        <f>$B$3+$B$4*$E102+('Станд.норм.распр.'!G102*$B$5*$S102)</f>
        <v>6092.0296031999997</v>
      </c>
      <c r="N102" s="2">
        <f>$B$3+$B$4*$E102+('Станд.норм.распр.'!H102*$B$5*$S102)</f>
        <v>7798.5727742999998</v>
      </c>
      <c r="O102" s="2">
        <f>$B$3+$B$4*$E102+('Станд.норм.распр.'!I102*$B$5*$S102)</f>
        <v>7047.2379099</v>
      </c>
      <c r="P102" s="2">
        <f>$B$3+$B$4*$E102+('Станд.норм.распр.'!J102*$B$5*$S102)</f>
        <v>5383.0308027000001</v>
      </c>
      <c r="Q102" s="2">
        <f>$B$3+$B$4*$E102+('Станд.норм.распр.'!K102*$B$5*$S102)</f>
        <v>7223.4424307999998</v>
      </c>
      <c r="S102">
        <v>100</v>
      </c>
    </row>
    <row r="104" spans="3:22" x14ac:dyDescent="0.3">
      <c r="C104" s="8" t="s">
        <v>339</v>
      </c>
      <c r="D104" s="9"/>
      <c r="E104" s="8" t="s">
        <v>340</v>
      </c>
      <c r="F104" s="9"/>
      <c r="G104" s="8" t="s">
        <v>341</v>
      </c>
      <c r="H104" s="9"/>
      <c r="I104" s="8" t="s">
        <v>342</v>
      </c>
      <c r="J104" s="9"/>
      <c r="K104" s="8" t="s">
        <v>343</v>
      </c>
      <c r="L104" s="9"/>
      <c r="M104" s="8" t="s">
        <v>344</v>
      </c>
      <c r="N104" s="9"/>
      <c r="O104" s="8" t="s">
        <v>345</v>
      </c>
      <c r="P104" s="9"/>
      <c r="Q104" s="8" t="s">
        <v>346</v>
      </c>
      <c r="R104" s="9"/>
      <c r="S104" s="8" t="s">
        <v>347</v>
      </c>
      <c r="T104" s="9"/>
      <c r="U104" s="8" t="s">
        <v>348</v>
      </c>
      <c r="V104" s="9"/>
    </row>
    <row r="105" spans="3:22" x14ac:dyDescent="0.3">
      <c r="C105" s="10" cm="1">
        <f t="array" ref="C105:D109">LINEST(H3:H102,$E$3:$E$102,1,1)</f>
        <v>11.155665423963281</v>
      </c>
      <c r="D105" s="11">
        <v>-59.81796182560538</v>
      </c>
      <c r="E105" s="10" cm="1">
        <f t="array" ref="E105:F109">LINEST(I3:I102,$E$3:$E$102,1,1)</f>
        <v>10.960857132803348</v>
      </c>
      <c r="F105" s="11">
        <v>46.210494473916697</v>
      </c>
      <c r="G105" s="10" cm="1">
        <f t="array" ref="G105:H109">LINEST(J3:J102,$E$3:$E$102,1,1)</f>
        <v>10.872992669037304</v>
      </c>
      <c r="H105" s="11">
        <v>11.432916965613913</v>
      </c>
      <c r="I105" s="10" cm="1">
        <f t="array" ref="I105:J109">LINEST(K3:K102,$E$3:$E$102,1,1)</f>
        <v>10.721929497366515</v>
      </c>
      <c r="J105" s="11">
        <v>130.0395081705019</v>
      </c>
      <c r="K105" s="10" cm="1">
        <f t="array" ref="K105:L109">LINEST(L3:L102,$E$3:$E$102,1,1)</f>
        <v>10.874791054821628</v>
      </c>
      <c r="L105" s="11">
        <v>43.302992316022937</v>
      </c>
      <c r="M105" s="10" cm="1">
        <f t="array" ref="M105:N109">LINEST(M3:M102,$E$3:$E$102,1,1)</f>
        <v>10.711720779782851</v>
      </c>
      <c r="N105" s="11">
        <v>138.61802490970331</v>
      </c>
      <c r="O105" s="10" cm="1">
        <f t="array" ref="O105:P109">LINEST(N3:N102,$E$3:$E$102,1,1)</f>
        <v>11.036993309807803</v>
      </c>
      <c r="P105" s="11">
        <v>-42.465167149233821</v>
      </c>
      <c r="Q105" s="10" cm="1">
        <f t="array" ref="Q105:R109">LINEST(O3:O102,$E$3:$E$102,1,1)</f>
        <v>10.84078252177542</v>
      </c>
      <c r="R105" s="11">
        <v>103.14779445813019</v>
      </c>
      <c r="S105" s="10" cm="1">
        <f t="array" ref="S105:T109">LINEST(P3:P102,$E$3:$E$102,1,1)</f>
        <v>11.198268420202108</v>
      </c>
      <c r="T105" s="11">
        <v>-78.926404042272225</v>
      </c>
      <c r="U105" s="10" cm="1">
        <f t="array" ref="U105:V109">LINEST(Q3:Q102,$E$3:$E$102,1,1)</f>
        <v>10.829284183771543</v>
      </c>
      <c r="V105" s="11">
        <v>99.350713195671233</v>
      </c>
    </row>
    <row r="106" spans="3:22" x14ac:dyDescent="0.3">
      <c r="C106" s="10">
        <v>0.19486030187477535</v>
      </c>
      <c r="D106" s="11">
        <v>116.7154049225028</v>
      </c>
      <c r="E106" s="10">
        <v>0.20749405652269473</v>
      </c>
      <c r="F106" s="11">
        <v>124.2826403995938</v>
      </c>
      <c r="G106" s="10">
        <v>0.20817781912683631</v>
      </c>
      <c r="H106" s="11">
        <v>124.69219344064643</v>
      </c>
      <c r="I106" s="10">
        <v>0.16935478843804164</v>
      </c>
      <c r="J106" s="11">
        <v>101.43837671365924</v>
      </c>
      <c r="K106" s="10">
        <v>0.15483125704861891</v>
      </c>
      <c r="L106" s="11">
        <v>92.739222341464441</v>
      </c>
      <c r="M106" s="10">
        <v>0.19559864784995706</v>
      </c>
      <c r="N106" s="11">
        <v>117.15765174567365</v>
      </c>
      <c r="O106" s="10">
        <v>0.17576588660167503</v>
      </c>
      <c r="P106" s="11">
        <v>105.27842987465277</v>
      </c>
      <c r="Q106" s="10">
        <v>0.20001095961131091</v>
      </c>
      <c r="R106" s="11">
        <v>119.80049253425913</v>
      </c>
      <c r="S106" s="10">
        <v>0.19333611242182364</v>
      </c>
      <c r="T106" s="11">
        <v>115.80246171412068</v>
      </c>
      <c r="U106" s="10">
        <v>0.14673108242116814</v>
      </c>
      <c r="V106" s="11">
        <v>87.887463658500579</v>
      </c>
    </row>
    <row r="107" spans="3:22" x14ac:dyDescent="0.3">
      <c r="C107" s="10">
        <v>0.97096736269512951</v>
      </c>
      <c r="D107" s="11">
        <v>536.23767139136442</v>
      </c>
      <c r="E107" s="10">
        <v>0.96607203021687671</v>
      </c>
      <c r="F107" s="11">
        <v>571.0046049748081</v>
      </c>
      <c r="G107" s="10">
        <v>0.96532084716371813</v>
      </c>
      <c r="H107" s="11">
        <v>572.88625692290486</v>
      </c>
      <c r="I107" s="10">
        <v>0.97613373466167574</v>
      </c>
      <c r="J107" s="11">
        <v>466.0488386667563</v>
      </c>
      <c r="K107" s="10">
        <v>0.98052136261985845</v>
      </c>
      <c r="L107" s="11">
        <v>426.08141288678223</v>
      </c>
      <c r="M107" s="10">
        <v>0.96835720247459789</v>
      </c>
      <c r="N107" s="11">
        <v>538.26953176827726</v>
      </c>
      <c r="O107" s="10">
        <v>0.97574888238141044</v>
      </c>
      <c r="P107" s="11">
        <v>483.69159256404589</v>
      </c>
      <c r="Q107" s="10">
        <v>0.96771794356330487</v>
      </c>
      <c r="R107" s="11">
        <v>550.41180888474003</v>
      </c>
      <c r="S107" s="10">
        <v>0.97161781912257039</v>
      </c>
      <c r="T107" s="11">
        <v>532.04324186853978</v>
      </c>
      <c r="U107" s="10">
        <v>0.98232633558951821</v>
      </c>
      <c r="V107" s="11">
        <v>403.79047554194022</v>
      </c>
    </row>
    <row r="108" spans="3:22" x14ac:dyDescent="0.3">
      <c r="C108" s="10">
        <v>3277.5114621832709</v>
      </c>
      <c r="D108" s="11">
        <v>98</v>
      </c>
      <c r="E108" s="10">
        <v>2790.4722730668027</v>
      </c>
      <c r="F108" s="11">
        <v>98</v>
      </c>
      <c r="G108" s="10">
        <v>2727.9052481083286</v>
      </c>
      <c r="H108" s="11">
        <v>98</v>
      </c>
      <c r="I108" s="10">
        <v>4008.2142991694805</v>
      </c>
      <c r="J108" s="11">
        <v>98</v>
      </c>
      <c r="K108" s="10">
        <v>4933.152748903849</v>
      </c>
      <c r="L108" s="11">
        <v>98</v>
      </c>
      <c r="M108" s="10">
        <v>2999.0712978625779</v>
      </c>
      <c r="N108" s="11">
        <v>98</v>
      </c>
      <c r="O108" s="10">
        <v>3943.0508720174762</v>
      </c>
      <c r="P108" s="11">
        <v>98</v>
      </c>
      <c r="Q108" s="10">
        <v>2937.7421681663086</v>
      </c>
      <c r="R108" s="11">
        <v>98</v>
      </c>
      <c r="S108" s="10">
        <v>3354.8706734418929</v>
      </c>
      <c r="T108" s="11">
        <v>98</v>
      </c>
      <c r="U108" s="10">
        <v>5446.9734545077736</v>
      </c>
      <c r="V108" s="11">
        <v>98</v>
      </c>
    </row>
    <row r="109" spans="3:22" x14ac:dyDescent="0.3">
      <c r="C109" s="12">
        <v>942451174.77896631</v>
      </c>
      <c r="D109" s="13">
        <v>28179982.34148483</v>
      </c>
      <c r="E109" s="12">
        <v>909823045.20440984</v>
      </c>
      <c r="F109" s="13">
        <v>31952533.372438796</v>
      </c>
      <c r="G109" s="12">
        <v>895294856.23226202</v>
      </c>
      <c r="H109" s="13">
        <v>32163469.01037138</v>
      </c>
      <c r="I109" s="12">
        <v>870590238.35606086</v>
      </c>
      <c r="J109" s="13">
        <v>21285748.962217961</v>
      </c>
      <c r="K109" s="12">
        <v>895591043.07700276</v>
      </c>
      <c r="L109" s="13">
        <v>17791446.299944468</v>
      </c>
      <c r="M109" s="12">
        <v>868933189.82254088</v>
      </c>
      <c r="N109" s="13">
        <v>28393940.705343965</v>
      </c>
      <c r="O109" s="12">
        <v>922506548.0286088</v>
      </c>
      <c r="P109" s="13">
        <v>22927840.558280014</v>
      </c>
      <c r="Q109" s="12">
        <v>889998271.23040855</v>
      </c>
      <c r="R109" s="13">
        <v>29689409.617257617</v>
      </c>
      <c r="S109" s="12">
        <v>949663279.16608715</v>
      </c>
      <c r="T109" s="13">
        <v>27740861.099362575</v>
      </c>
      <c r="U109" s="12">
        <v>888111308.95360458</v>
      </c>
      <c r="V109" s="13">
        <v>15978581.317561852</v>
      </c>
    </row>
    <row r="111" spans="3:22" x14ac:dyDescent="0.3">
      <c r="C111" t="s">
        <v>351</v>
      </c>
      <c r="F111" s="2" t="s">
        <v>358</v>
      </c>
      <c r="I111" t="s">
        <v>359</v>
      </c>
    </row>
    <row r="112" spans="3:22" x14ac:dyDescent="0.3">
      <c r="C112" s="4"/>
    </row>
    <row r="113" spans="2:11" x14ac:dyDescent="0.3">
      <c r="B113" s="14"/>
      <c r="C113" s="15" t="s">
        <v>354</v>
      </c>
      <c r="D113" s="9" t="s">
        <v>355</v>
      </c>
      <c r="E113" t="s">
        <v>360</v>
      </c>
      <c r="F113" t="s">
        <v>354</v>
      </c>
      <c r="G113" t="s">
        <v>355</v>
      </c>
      <c r="I113" s="14"/>
      <c r="J113" s="15" t="s">
        <v>354</v>
      </c>
      <c r="K113" s="9" t="s">
        <v>355</v>
      </c>
    </row>
    <row r="114" spans="2:11" x14ac:dyDescent="0.3">
      <c r="B114" s="10" t="s">
        <v>357</v>
      </c>
      <c r="C114">
        <f>AVERAGE(C105,E105,G105,I105,K105,M105,O105,Q105,S105,U105)</f>
        <v>10.920328499333182</v>
      </c>
      <c r="D114" s="11">
        <f>AVERAGE(D105,F105,H105,J105,L105,N105,P105,R105,T105,V105)</f>
        <v>39.089291147244879</v>
      </c>
      <c r="E114">
        <f>AVERAGE(D107,F107,H107,J107,L107,N107,P107,R107,T107,V107)</f>
        <v>508.04654354701597</v>
      </c>
      <c r="F114">
        <v>11</v>
      </c>
      <c r="G114">
        <v>14</v>
      </c>
      <c r="I114" s="10" t="s">
        <v>357</v>
      </c>
      <c r="J114">
        <v>10.999248425130762</v>
      </c>
      <c r="K114" s="11">
        <v>14.39984534618543</v>
      </c>
    </row>
    <row r="115" spans="2:11" x14ac:dyDescent="0.3">
      <c r="B115" s="10" t="s">
        <v>352</v>
      </c>
      <c r="C115">
        <f>MIN(C105,E105,G105,I105,K105,M105,O105,Q105,S105,U105)</f>
        <v>10.711720779782851</v>
      </c>
      <c r="D115" s="11">
        <f>MIN(D105,F105,H105,J105,L105,N105,P105,R105,T105,V105)</f>
        <v>-78.926404042272225</v>
      </c>
      <c r="E115" s="11">
        <f>MIN(D107,F107,H107,J107,L107,N107,P107,R107,T107,V107)</f>
        <v>403.79047554194022</v>
      </c>
      <c r="I115" s="10" t="s">
        <v>352</v>
      </c>
      <c r="J115">
        <v>10.994477331015542</v>
      </c>
      <c r="K115" s="11">
        <v>12.591319651784033</v>
      </c>
    </row>
    <row r="116" spans="2:11" x14ac:dyDescent="0.3">
      <c r="B116" s="10" t="s">
        <v>353</v>
      </c>
      <c r="C116">
        <f>MAX(C105,E105,G105,I105,K105,M105,O105,Q105,S105,U105)</f>
        <v>11.198268420202108</v>
      </c>
      <c r="D116" s="11">
        <f>MAX(D105,F105,H105,J105,L105,N105,P105,R105,T105,V105)</f>
        <v>138.61802490970331</v>
      </c>
      <c r="E116" s="11">
        <f>MAX(D107,F107,H107,J107,L107,N107,P107,R107,T107,V107)</f>
        <v>572.88625692290486</v>
      </c>
      <c r="I116" s="10" t="s">
        <v>353</v>
      </c>
      <c r="J116">
        <v>11.00264784561983</v>
      </c>
      <c r="K116" s="11">
        <v>16.938115126434241</v>
      </c>
    </row>
    <row r="117" spans="2:11" x14ac:dyDescent="0.3">
      <c r="B117" s="12" t="s">
        <v>356</v>
      </c>
      <c r="C117" s="16">
        <f>C116-C115</f>
        <v>0.48654764041925702</v>
      </c>
      <c r="D117" s="13">
        <f>D116-D115</f>
        <v>217.54442895197553</v>
      </c>
      <c r="E117" s="13">
        <f>E116-E115</f>
        <v>169.09578138096464</v>
      </c>
      <c r="I117" s="12" t="s">
        <v>356</v>
      </c>
      <c r="J117" s="16">
        <v>8.1705146042878596E-3</v>
      </c>
      <c r="K117" s="13">
        <v>4.3467954746502073</v>
      </c>
    </row>
    <row r="120" spans="2:11" x14ac:dyDescent="0.3">
      <c r="C120" s="18" t="s">
        <v>363</v>
      </c>
      <c r="D120" s="18"/>
      <c r="E120" s="18"/>
      <c r="F120" s="18"/>
      <c r="G120" s="18"/>
      <c r="H120" s="18"/>
      <c r="I120" s="18"/>
      <c r="J120" s="18"/>
    </row>
    <row r="121" spans="2:11" x14ac:dyDescent="0.3">
      <c r="C121" s="18"/>
      <c r="D121" s="18"/>
      <c r="E121" s="18"/>
      <c r="F121" s="18"/>
      <c r="G121" s="18"/>
      <c r="H121" s="18"/>
      <c r="I121" s="18"/>
      <c r="J121" s="18"/>
    </row>
    <row r="122" spans="2:11" x14ac:dyDescent="0.3">
      <c r="C122" s="18"/>
      <c r="D122" s="18"/>
      <c r="E122" s="18"/>
      <c r="F122" s="18"/>
      <c r="G122" s="18"/>
      <c r="H122" s="18"/>
      <c r="I122" s="18"/>
      <c r="J122" s="18"/>
    </row>
  </sheetData>
  <mergeCells count="1">
    <mergeCell ref="C120:J1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22"/>
  <sheetViews>
    <sheetView topLeftCell="A106" workbookViewId="0">
      <selection activeCell="F125" sqref="F125"/>
    </sheetView>
  </sheetViews>
  <sheetFormatPr defaultRowHeight="14.4" x14ac:dyDescent="0.3"/>
  <cols>
    <col min="1" max="1" width="15.109375" customWidth="1"/>
    <col min="4" max="4" width="19.109375" customWidth="1"/>
  </cols>
  <sheetData>
    <row r="1" spans="1:30" x14ac:dyDescent="0.3">
      <c r="A1" t="s">
        <v>214</v>
      </c>
      <c r="B1" t="s">
        <v>10</v>
      </c>
      <c r="D1" t="s">
        <v>215</v>
      </c>
      <c r="E1" t="s">
        <v>216</v>
      </c>
    </row>
    <row r="2" spans="1:30" x14ac:dyDescent="0.3">
      <c r="A2" s="3"/>
      <c r="H2" t="s">
        <v>329</v>
      </c>
      <c r="I2" t="s">
        <v>331</v>
      </c>
      <c r="J2" t="s">
        <v>330</v>
      </c>
      <c r="K2" t="s">
        <v>332</v>
      </c>
      <c r="L2" t="s">
        <v>333</v>
      </c>
      <c r="M2" t="s">
        <v>334</v>
      </c>
      <c r="N2" t="s">
        <v>335</v>
      </c>
      <c r="O2" t="s">
        <v>336</v>
      </c>
      <c r="P2" t="s">
        <v>337</v>
      </c>
      <c r="Q2" t="s">
        <v>338</v>
      </c>
    </row>
    <row r="3" spans="1:30" x14ac:dyDescent="0.3">
      <c r="A3" s="1" t="s">
        <v>2</v>
      </c>
      <c r="B3" s="2">
        <v>14</v>
      </c>
      <c r="C3" s="4" t="s">
        <v>11</v>
      </c>
      <c r="D3" s="4" t="s">
        <v>5</v>
      </c>
      <c r="E3" s="4">
        <v>212</v>
      </c>
      <c r="F3" s="4" t="s">
        <v>218</v>
      </c>
      <c r="G3" s="4" t="s">
        <v>5</v>
      </c>
      <c r="H3" s="2">
        <f>$B$3+$B$4*$E3+U3</f>
        <v>2345.7469467416522</v>
      </c>
      <c r="I3" s="2">
        <f t="shared" ref="I3:Q3" si="0">$B$3+$B$4*$E3+V3</f>
        <v>2330.6845685169683</v>
      </c>
      <c r="J3" s="2">
        <f t="shared" si="0"/>
        <v>2341.1263612274488</v>
      </c>
      <c r="K3" s="2">
        <f t="shared" si="0"/>
        <v>2349.5931373076892</v>
      </c>
      <c r="L3" s="2">
        <f t="shared" si="0"/>
        <v>2337.5392842467409</v>
      </c>
      <c r="M3" s="2">
        <f t="shared" si="0"/>
        <v>2349.4341348964517</v>
      </c>
      <c r="N3" s="2">
        <f t="shared" si="0"/>
        <v>2353.9433880273427</v>
      </c>
      <c r="O3" s="2">
        <f t="shared" si="0"/>
        <v>2326.8995744388085</v>
      </c>
      <c r="P3" s="2">
        <f t="shared" si="0"/>
        <v>2353.3036949288507</v>
      </c>
      <c r="Q3" s="2">
        <f t="shared" si="0"/>
        <v>2337.4802333478292</v>
      </c>
      <c r="S3">
        <v>1</v>
      </c>
      <c r="U3">
        <f>'Станд.норм.распр.'!B3*$B$5</f>
        <v>-0.25305325834779069</v>
      </c>
      <c r="V3">
        <f>'Станд.норм.распр.'!C3*$B$5</f>
        <v>-15.315431483031716</v>
      </c>
      <c r="W3">
        <f>'Станд.норм.распр.'!D3*$B$5</f>
        <v>-4.8736387725512031</v>
      </c>
      <c r="X3">
        <f>'Станд.норм.распр.'!E3*$B$5</f>
        <v>3.5931373076891759</v>
      </c>
      <c r="Y3">
        <f>'Станд.норм.распр.'!F3*$B$5</f>
        <v>-8.4607157532591</v>
      </c>
      <c r="Z3">
        <f>'Станд.норм.распр.'!G3*$B$5</f>
        <v>3.4341348964517238</v>
      </c>
      <c r="AA3">
        <f>'Станд.норм.распр.'!H3*$B$5</f>
        <v>7.9433880273427349</v>
      </c>
      <c r="AB3">
        <f>'Станд.норм.распр.'!I3*$B$5</f>
        <v>-19.100425561191514</v>
      </c>
      <c r="AC3">
        <f>'Станд.норм.распр.'!J3*$B$5</f>
        <v>7.3036949288507458</v>
      </c>
      <c r="AD3">
        <f>'Станд.норм.распр.'!K3*$B$5</f>
        <v>-8.5197666521708015</v>
      </c>
    </row>
    <row r="4" spans="1:30" x14ac:dyDescent="0.3">
      <c r="A4" s="1" t="s">
        <v>3</v>
      </c>
      <c r="B4" s="2">
        <v>11</v>
      </c>
      <c r="C4" s="4" t="s">
        <v>12</v>
      </c>
      <c r="D4" s="4" t="s">
        <v>5</v>
      </c>
      <c r="E4" s="4">
        <v>780</v>
      </c>
      <c r="F4" s="4" t="s">
        <v>230</v>
      </c>
      <c r="G4" s="4" t="s">
        <v>5</v>
      </c>
      <c r="H4" s="2">
        <f>$B$3+$B$4*$E4+U4</f>
        <v>8593.4721542861953</v>
      </c>
      <c r="I4" s="2">
        <f t="shared" ref="I4:J67" si="1">$B$3+$B$4*$E4+V4</f>
        <v>8592.5193812790385</v>
      </c>
      <c r="J4" s="2">
        <f t="shared" ref="J4:J67" si="2">$B$3+$B$4*$E4+W4</f>
        <v>8597.6932658531441</v>
      </c>
      <c r="K4" s="2">
        <f t="shared" ref="K4:K67" si="3">$B$3+$B$4*$E4+X4</f>
        <v>8599.7061316738327</v>
      </c>
      <c r="L4" s="2">
        <f t="shared" ref="L4:L67" si="4">$B$3+$B$4*$E4+Y4</f>
        <v>8592.1231097308337</v>
      </c>
      <c r="M4" s="2">
        <f t="shared" ref="M4:M67" si="5">$B$3+$B$4*$E4+Z4</f>
        <v>8592.9702547509296</v>
      </c>
      <c r="N4" s="2">
        <f t="shared" ref="N4:N67" si="6">$B$3+$B$4*$E4+AA4</f>
        <v>8595.3990653618093</v>
      </c>
      <c r="O4" s="2">
        <f t="shared" ref="O4:O67" si="7">$B$3+$B$4*$E4+AB4</f>
        <v>8586.404561908188</v>
      </c>
      <c r="P4" s="2">
        <f t="shared" ref="P4:P67" si="8">$B$3+$B$4*$E4+AC4</f>
        <v>8597.7924667140032</v>
      </c>
      <c r="Q4" s="2">
        <f t="shared" ref="Q4:Q67" si="9">$B$3+$B$4*$E4+AD4</f>
        <v>8591.8508105868968</v>
      </c>
      <c r="S4">
        <v>2</v>
      </c>
      <c r="U4">
        <f>$B$6*U3+$B$7*'Станд.норм.распр.'!B4</f>
        <v>-0.52784571380470879</v>
      </c>
      <c r="V4">
        <f>$B$6*V3+$B$7*'Станд.норм.распр.'!C4</f>
        <v>-1.4806187209615018</v>
      </c>
      <c r="W4">
        <f>$B$6*W3+$B$7*'Станд.норм.распр.'!D4</f>
        <v>3.693265853144112</v>
      </c>
      <c r="X4">
        <f>$B$6*X3+$B$7*'Станд.норм.распр.'!E4</f>
        <v>5.706131673832715</v>
      </c>
      <c r="Y4">
        <f>$B$6*Y3+$B$7*'Станд.норм.распр.'!F4</f>
        <v>-1.8768902691663056</v>
      </c>
      <c r="Z4">
        <f>$B$6*Z3+$B$7*'Станд.норм.распр.'!G4</f>
        <v>-1.0297452490704018</v>
      </c>
      <c r="AA4">
        <f>$B$6*AA3+$B$7*'Станд.норм.распр.'!H4</f>
        <v>1.3990653618093374</v>
      </c>
      <c r="AB4">
        <f>$B$6*AB3+$B$7*'Станд.норм.распр.'!I4</f>
        <v>-7.5954380918119568</v>
      </c>
      <c r="AC4">
        <f>$B$6*AC3+$B$7*'Станд.норм.распр.'!J4</f>
        <v>3.7924667140032398</v>
      </c>
      <c r="AD4">
        <f>$B$6*AD3+$B$7*'Станд.норм.распр.'!K4</f>
        <v>-2.1491894131031599</v>
      </c>
    </row>
    <row r="5" spans="1:30" x14ac:dyDescent="0.3">
      <c r="A5" s="1" t="s">
        <v>4</v>
      </c>
      <c r="B5" s="2">
        <v>9</v>
      </c>
      <c r="C5" s="4" t="s">
        <v>13</v>
      </c>
      <c r="D5" s="4" t="s">
        <v>5</v>
      </c>
      <c r="E5" s="4">
        <v>280</v>
      </c>
      <c r="F5" s="4" t="s">
        <v>231</v>
      </c>
      <c r="G5" s="4" t="s">
        <v>5</v>
      </c>
      <c r="H5" s="2">
        <f>$B$3+$B$4*$E5+U5</f>
        <v>3091.820295902784</v>
      </c>
      <c r="I5" s="2">
        <f t="shared" si="1"/>
        <v>3092.1038638452446</v>
      </c>
      <c r="J5" s="2">
        <f t="shared" si="2"/>
        <v>3098.6508324658134</v>
      </c>
      <c r="K5" s="2">
        <f t="shared" si="3"/>
        <v>3103.0906533500856</v>
      </c>
      <c r="L5" s="2">
        <f t="shared" si="4"/>
        <v>3094.1816214648861</v>
      </c>
      <c r="M5" s="2">
        <f t="shared" si="5"/>
        <v>3093.330493949401</v>
      </c>
      <c r="N5" s="2">
        <f t="shared" si="6"/>
        <v>3098.5935068555918</v>
      </c>
      <c r="O5" s="2">
        <f t="shared" si="7"/>
        <v>3086.8219347111735</v>
      </c>
      <c r="P5" s="2">
        <f t="shared" si="8"/>
        <v>3092.8563678243736</v>
      </c>
      <c r="Q5" s="2">
        <f t="shared" si="9"/>
        <v>3090.8200012290254</v>
      </c>
      <c r="S5">
        <v>3</v>
      </c>
      <c r="U5">
        <f>$B$6*U4+$B$7*'Станд.норм.распр.'!B5</f>
        <v>-2.1797040972160175</v>
      </c>
      <c r="V5">
        <f>$B$6*V4+$B$7*'Станд.норм.распр.'!C5</f>
        <v>-1.8961361547553679</v>
      </c>
      <c r="W5">
        <f>$B$6*W4+$B$7*'Станд.норм.распр.'!D5</f>
        <v>4.650832465813437</v>
      </c>
      <c r="X5">
        <f>$B$6*X4+$B$7*'Станд.норм.распр.'!E5</f>
        <v>9.0906533500856312</v>
      </c>
      <c r="Y5">
        <f>$B$6*Y4+$B$7*'Станд.норм.распр.'!F5</f>
        <v>0.18162146488612985</v>
      </c>
      <c r="Z5">
        <f>$B$6*Z4+$B$7*'Станд.норм.распр.'!G5</f>
        <v>-0.66950605059901136</v>
      </c>
      <c r="AA5">
        <f>$B$6*AA4+$B$7*'Станд.норм.распр.'!H5</f>
        <v>4.5935068555918388</v>
      </c>
      <c r="AB5">
        <f>$B$6*AB4+$B$7*'Станд.норм.распр.'!I5</f>
        <v>-7.178065288826474</v>
      </c>
      <c r="AC5">
        <f>$B$6*AC4+$B$7*'Станд.норм.распр.'!J5</f>
        <v>-1.1436321756264078</v>
      </c>
      <c r="AD5">
        <f>$B$6*AD4+$B$7*'Станд.норм.распр.'!K5</f>
        <v>-3.1799987709746356</v>
      </c>
    </row>
    <row r="6" spans="1:30" x14ac:dyDescent="0.3">
      <c r="A6" s="1" t="s">
        <v>349</v>
      </c>
      <c r="B6" s="2">
        <v>0.5</v>
      </c>
      <c r="C6" s="4" t="s">
        <v>14</v>
      </c>
      <c r="D6" s="4" t="s">
        <v>5</v>
      </c>
      <c r="E6" s="4">
        <v>888</v>
      </c>
      <c r="F6" s="4" t="s">
        <v>232</v>
      </c>
      <c r="G6" s="4" t="s">
        <v>5</v>
      </c>
      <c r="H6" s="2">
        <f t="shared" ref="H6:H67" si="10">$B$3+$B$4*$E6+U6</f>
        <v>9778.2310357659589</v>
      </c>
      <c r="I6" s="2">
        <f t="shared" si="1"/>
        <v>9787.4835146556798</v>
      </c>
      <c r="J6" s="2">
        <f t="shared" si="2"/>
        <v>9784.2419860101763</v>
      </c>
      <c r="K6" s="2">
        <f t="shared" si="3"/>
        <v>9785.6311753603968</v>
      </c>
      <c r="L6" s="2">
        <f t="shared" si="4"/>
        <v>9783.0497773985189</v>
      </c>
      <c r="M6" s="2">
        <f t="shared" si="5"/>
        <v>9782.5398079849783</v>
      </c>
      <c r="N6" s="2">
        <f t="shared" si="6"/>
        <v>9791.0339809503312</v>
      </c>
      <c r="O6" s="2">
        <f t="shared" si="7"/>
        <v>9779.3426832866608</v>
      </c>
      <c r="P6" s="2">
        <f t="shared" si="8"/>
        <v>9781.6345459862823</v>
      </c>
      <c r="Q6" s="2">
        <f t="shared" si="9"/>
        <v>9780.5425776571901</v>
      </c>
      <c r="S6">
        <v>4</v>
      </c>
      <c r="U6">
        <f>$B$6*U5+$B$7*'Станд.норм.распр.'!B6</f>
        <v>-3.7689642340410501</v>
      </c>
      <c r="V6">
        <f>$B$6*V5+$B$7*'Станд.норм.распр.'!C6</f>
        <v>5.4835146556797554</v>
      </c>
      <c r="W6">
        <f>$B$6*W5+$B$7*'Станд.норм.распр.'!D6</f>
        <v>2.2419860101763334</v>
      </c>
      <c r="X6">
        <f>$B$6*X5+$B$7*'Станд.норм.распр.'!E6</f>
        <v>3.63117536039681</v>
      </c>
      <c r="Y6">
        <f>$B$6*Y5+$B$7*'Станд.норм.распр.'!F6</f>
        <v>1.0497773985189316</v>
      </c>
      <c r="Z6">
        <f>$B$6*Z5+$B$7*'Станд.норм.распр.'!G6</f>
        <v>0.53980798497832438</v>
      </c>
      <c r="AA6">
        <f>$B$6*AA5+$B$7*'Станд.норм.распр.'!H6</f>
        <v>9.0339809503311699</v>
      </c>
      <c r="AB6">
        <f>$B$6*AB5+$B$7*'Станд.норм.распр.'!I6</f>
        <v>-2.6573167133392417</v>
      </c>
      <c r="AC6">
        <f>$B$6*AC5+$B$7*'Станд.норм.распр.'!J6</f>
        <v>-0.36545401371768094</v>
      </c>
      <c r="AD6">
        <f>$B$6*AD5+$B$7*'Станд.норм.распр.'!K6</f>
        <v>-1.457422342809878</v>
      </c>
    </row>
    <row r="7" spans="1:30" x14ac:dyDescent="0.3">
      <c r="A7" s="1" t="s">
        <v>350</v>
      </c>
      <c r="B7" s="2">
        <v>3</v>
      </c>
      <c r="C7" s="4" t="s">
        <v>15</v>
      </c>
      <c r="D7" s="4" t="s">
        <v>5</v>
      </c>
      <c r="E7" s="4">
        <v>314</v>
      </c>
      <c r="F7" s="4" t="s">
        <v>233</v>
      </c>
      <c r="G7" s="4" t="s">
        <v>5</v>
      </c>
      <c r="H7" s="2">
        <f t="shared" si="10"/>
        <v>3466.1275641403045</v>
      </c>
      <c r="I7" s="2">
        <f t="shared" si="1"/>
        <v>3470.9495006970137</v>
      </c>
      <c r="J7" s="2">
        <f t="shared" si="2"/>
        <v>3470.5101358858137</v>
      </c>
      <c r="K7" s="2">
        <f t="shared" si="3"/>
        <v>3469.7048316891533</v>
      </c>
      <c r="L7" s="2">
        <f t="shared" si="4"/>
        <v>3469.163664344971</v>
      </c>
      <c r="M7" s="2">
        <f t="shared" si="5"/>
        <v>3468.0055275251043</v>
      </c>
      <c r="N7" s="2">
        <f t="shared" si="6"/>
        <v>3471.7173536384198</v>
      </c>
      <c r="O7" s="2">
        <f t="shared" si="7"/>
        <v>3467.7710094135073</v>
      </c>
      <c r="P7" s="2">
        <f t="shared" si="8"/>
        <v>3467.9447160443397</v>
      </c>
      <c r="Q7" s="2">
        <f t="shared" si="9"/>
        <v>3471.8758376774695</v>
      </c>
      <c r="S7">
        <v>5</v>
      </c>
      <c r="U7">
        <f>$B$6*U6+$B$7*'Станд.норм.распр.'!B7</f>
        <v>-1.8724358596955426</v>
      </c>
      <c r="V7">
        <f>$B$6*V6+$B$7*'Станд.норм.распр.'!C7</f>
        <v>2.9495006970137183</v>
      </c>
      <c r="W7">
        <f>$B$6*W6+$B$7*'Станд.норм.распр.'!D7</f>
        <v>2.5101358858137246</v>
      </c>
      <c r="X7">
        <f>$B$6*X6+$B$7*'Станд.норм.распр.'!E7</f>
        <v>1.7048316891532522</v>
      </c>
      <c r="Y7">
        <f>$B$6*Y6+$B$7*'Станд.норм.распр.'!F7</f>
        <v>1.1636643449710413</v>
      </c>
      <c r="Z7">
        <f>$B$6*Z6+$B$7*'Станд.норм.распр.'!G7</f>
        <v>5.5275251042985474E-3</v>
      </c>
      <c r="AA7">
        <f>$B$6*AA6+$B$7*'Станд.норм.распр.'!H7</f>
        <v>3.7173536384198087</v>
      </c>
      <c r="AB7">
        <f>$B$6*AB6+$B$7*'Станд.норм.распр.'!I7</f>
        <v>-0.22899058649272774</v>
      </c>
      <c r="AC7">
        <f>$B$6*AC6+$B$7*'Станд.норм.распр.'!J7</f>
        <v>-5.5283955660360484E-2</v>
      </c>
      <c r="AD7">
        <f>$B$6*AD6+$B$7*'Станд.норм.распр.'!K7</f>
        <v>3.8758376774694625</v>
      </c>
    </row>
    <row r="8" spans="1:30" x14ac:dyDescent="0.3">
      <c r="C8" s="4" t="s">
        <v>16</v>
      </c>
      <c r="D8" s="4" t="s">
        <v>5</v>
      </c>
      <c r="E8" s="4">
        <v>780</v>
      </c>
      <c r="F8" s="4" t="s">
        <v>234</v>
      </c>
      <c r="G8" s="4" t="s">
        <v>5</v>
      </c>
      <c r="H8" s="2">
        <f t="shared" si="10"/>
        <v>8590.5804045132245</v>
      </c>
      <c r="I8" s="2">
        <f t="shared" si="1"/>
        <v>8590.0081096617159</v>
      </c>
      <c r="J8" s="2">
        <f t="shared" si="2"/>
        <v>8596.9915741350815</v>
      </c>
      <c r="K8" s="2">
        <f t="shared" si="3"/>
        <v>8592.0253993570041</v>
      </c>
      <c r="L8" s="2">
        <f t="shared" si="4"/>
        <v>8596.3888321621253</v>
      </c>
      <c r="M8" s="2">
        <f t="shared" si="5"/>
        <v>8594.5757215504327</v>
      </c>
      <c r="N8" s="2">
        <f t="shared" si="6"/>
        <v>8595.2304604069868</v>
      </c>
      <c r="O8" s="2">
        <f t="shared" si="7"/>
        <v>8591.4947046155194</v>
      </c>
      <c r="P8" s="2">
        <f t="shared" si="8"/>
        <v>8591.449001351888</v>
      </c>
      <c r="Q8" s="2">
        <f t="shared" si="9"/>
        <v>8598.6892744620673</v>
      </c>
      <c r="S8">
        <v>6</v>
      </c>
      <c r="U8">
        <f>$B$6*U7+$B$7*'Станд.норм.распр.'!B8</f>
        <v>-3.4195954867755063</v>
      </c>
      <c r="V8">
        <f>$B$6*V7+$B$7*'Станд.норм.распр.'!C8</f>
        <v>-3.9918903382840654</v>
      </c>
      <c r="W8">
        <f>$B$6*W7+$B$7*'Станд.норм.распр.'!D8</f>
        <v>2.9915741350805547</v>
      </c>
      <c r="X8">
        <f>$B$6*X7+$B$7*'Станд.норм.распр.'!E8</f>
        <v>-1.9746006429954832</v>
      </c>
      <c r="Y8">
        <f>$B$6*Y7+$B$7*'Станд.норм.распр.'!F8</f>
        <v>2.3888321621252553</v>
      </c>
      <c r="Z8">
        <f>$B$6*Z7+$B$7*'Станд.норм.распр.'!G8</f>
        <v>0.57572155043317252</v>
      </c>
      <c r="AA8">
        <f>$B$6*AA7+$B$7*'Станд.норм.распр.'!H8</f>
        <v>1.2304604069859124</v>
      </c>
      <c r="AB8">
        <f>$B$6*AB7+$B$7*'Станд.норм.распр.'!I8</f>
        <v>-2.5052953844806325</v>
      </c>
      <c r="AC8">
        <f>$B$6*AC7+$B$7*'Станд.норм.распр.'!J8</f>
        <v>-2.5509986481110989</v>
      </c>
      <c r="AD8">
        <f>$B$6*AD7+$B$7*'Станд.норм.распр.'!K8</f>
        <v>4.6892744620663507</v>
      </c>
    </row>
    <row r="9" spans="1:30" x14ac:dyDescent="0.3">
      <c r="C9" s="4" t="s">
        <v>17</v>
      </c>
      <c r="D9" s="4" t="s">
        <v>5</v>
      </c>
      <c r="E9" s="4">
        <v>993</v>
      </c>
      <c r="F9" s="4" t="s">
        <v>235</v>
      </c>
      <c r="G9" s="4" t="s">
        <v>5</v>
      </c>
      <c r="H9" s="2">
        <f t="shared" si="10"/>
        <v>10939.176279849664</v>
      </c>
      <c r="I9" s="2">
        <f t="shared" si="1"/>
        <v>10932.252351325802</v>
      </c>
      <c r="J9" s="2">
        <f t="shared" si="2"/>
        <v>10941.201672503257</v>
      </c>
      <c r="K9" s="2">
        <f t="shared" si="3"/>
        <v>10939.43054893545</v>
      </c>
      <c r="L9" s="2">
        <f t="shared" si="4"/>
        <v>10938.952515157911</v>
      </c>
      <c r="M9" s="2">
        <f t="shared" si="5"/>
        <v>10937.069762808864</v>
      </c>
      <c r="N9" s="2">
        <f t="shared" si="6"/>
        <v>10939.343602102428</v>
      </c>
      <c r="O9" s="2">
        <f t="shared" si="7"/>
        <v>10937.594962372703</v>
      </c>
      <c r="P9" s="2">
        <f t="shared" si="8"/>
        <v>10937.954756762421</v>
      </c>
      <c r="Q9" s="2">
        <f t="shared" si="9"/>
        <v>10939.93677285157</v>
      </c>
      <c r="S9">
        <v>7</v>
      </c>
      <c r="U9">
        <f>$B$6*U8+$B$7*'Станд.норм.распр.'!B9</f>
        <v>2.1762798496638425</v>
      </c>
      <c r="V9">
        <f>$B$6*V8+$B$7*'Станд.норм.распр.'!C9</f>
        <v>-4.7476486741970803</v>
      </c>
      <c r="W9">
        <f>$B$6*W8+$B$7*'Станд.норм.распр.'!D9</f>
        <v>4.2016725032567592</v>
      </c>
      <c r="X9">
        <f>$B$6*X8+$B$7*'Станд.норм.распр.'!E9</f>
        <v>2.4305489354503607</v>
      </c>
      <c r="Y9">
        <f>$B$6*Y8+$B$7*'Станд.норм.распр.'!F9</f>
        <v>1.952515157910057</v>
      </c>
      <c r="Z9">
        <f>$B$6*Z8+$B$7*'Станд.норм.распр.'!G9</f>
        <v>6.9762808863060854E-2</v>
      </c>
      <c r="AA9">
        <f>$B$6*AA8+$B$7*'Станд.норм.распр.'!H9</f>
        <v>2.343602102427667</v>
      </c>
      <c r="AB9">
        <f>$B$6*AB8+$B$7*'Станд.норм.распр.'!I9</f>
        <v>0.59496237270195707</v>
      </c>
      <c r="AC9">
        <f>$B$6*AC8+$B$7*'Станд.норм.распр.'!J9</f>
        <v>0.95475676242176188</v>
      </c>
      <c r="AD9">
        <f>$B$6*AD8+$B$7*'Станд.норм.распр.'!K9</f>
        <v>2.936772851569458</v>
      </c>
    </row>
    <row r="10" spans="1:30" x14ac:dyDescent="0.3">
      <c r="C10" s="4" t="s">
        <v>18</v>
      </c>
      <c r="D10" s="4" t="s">
        <v>5</v>
      </c>
      <c r="E10" s="4">
        <v>326</v>
      </c>
      <c r="F10" s="4" t="s">
        <v>236</v>
      </c>
      <c r="G10" s="4" t="s">
        <v>5</v>
      </c>
      <c r="H10" s="2">
        <f t="shared" si="10"/>
        <v>3602.086802624035</v>
      </c>
      <c r="I10" s="2">
        <f t="shared" si="1"/>
        <v>3591.138659005685</v>
      </c>
      <c r="J10" s="2">
        <f t="shared" si="2"/>
        <v>3599.9192972488518</v>
      </c>
      <c r="K10" s="2">
        <f t="shared" si="3"/>
        <v>3602.5522555535672</v>
      </c>
      <c r="L10" s="2">
        <f t="shared" si="4"/>
        <v>3601.0498175104344</v>
      </c>
      <c r="M10" s="2">
        <f t="shared" si="5"/>
        <v>3605.4527504378398</v>
      </c>
      <c r="N10" s="2">
        <f t="shared" si="6"/>
        <v>3605.3277120798612</v>
      </c>
      <c r="O10" s="2">
        <f t="shared" si="7"/>
        <v>3601.1708450742276</v>
      </c>
      <c r="P10" s="2">
        <f t="shared" si="8"/>
        <v>3602.9695713216479</v>
      </c>
      <c r="Q10" s="2">
        <f t="shared" si="9"/>
        <v>3598.0893362128145</v>
      </c>
      <c r="S10">
        <v>8</v>
      </c>
      <c r="U10">
        <f>$B$6*U9+$B$7*'Станд.норм.распр.'!B10</f>
        <v>2.0868026240350446</v>
      </c>
      <c r="V10">
        <f>$B$6*V9+$B$7*'Станд.норм.распр.'!C10</f>
        <v>-8.8613409943150145</v>
      </c>
      <c r="W10">
        <f>$B$6*W9+$B$7*'Станд.норм.распр.'!D10</f>
        <v>-8.0702751148464813E-2</v>
      </c>
      <c r="X10">
        <f>$B$6*X9+$B$7*'Станд.норм.распр.'!E10</f>
        <v>2.5522555535673064</v>
      </c>
      <c r="Y10">
        <f>$B$6*Y9+$B$7*'Станд.норм.распр.'!F10</f>
        <v>1.049817510434423</v>
      </c>
      <c r="Z10">
        <f>$B$6*Z9+$B$7*'Станд.норм.распр.'!G10</f>
        <v>5.4527504378398817</v>
      </c>
      <c r="AA10">
        <f>$B$6*AA9+$B$7*'Станд.норм.распр.'!H10</f>
        <v>5.3277120798609303</v>
      </c>
      <c r="AB10">
        <f>$B$6*AB9+$B$7*'Станд.норм.распр.'!I10</f>
        <v>1.1708450742276</v>
      </c>
      <c r="AC10">
        <f>$B$6*AC9+$B$7*'Станд.норм.распр.'!J10</f>
        <v>2.9695713216481008</v>
      </c>
      <c r="AD10">
        <f>$B$6*AD9+$B$7*'Станд.норм.распр.'!K10</f>
        <v>-1.9106637871857401</v>
      </c>
    </row>
    <row r="11" spans="1:30" x14ac:dyDescent="0.3">
      <c r="C11" s="4" t="s">
        <v>19</v>
      </c>
      <c r="D11" s="4" t="s">
        <v>5</v>
      </c>
      <c r="E11" s="4">
        <v>906</v>
      </c>
      <c r="F11" s="4" t="s">
        <v>237</v>
      </c>
      <c r="G11" s="4" t="s">
        <v>5</v>
      </c>
      <c r="H11" s="2">
        <f t="shared" si="10"/>
        <v>9983.1303505920732</v>
      </c>
      <c r="I11" s="2">
        <f t="shared" si="1"/>
        <v>9974.7432672975374</v>
      </c>
      <c r="J11" s="2">
        <f t="shared" si="2"/>
        <v>9977.9411467787577</v>
      </c>
      <c r="K11" s="2">
        <f t="shared" si="3"/>
        <v>9981.4080158772249</v>
      </c>
      <c r="L11" s="2">
        <f t="shared" si="4"/>
        <v>9979.7878803968724</v>
      </c>
      <c r="M11" s="2">
        <f t="shared" si="5"/>
        <v>9985.9339606695012</v>
      </c>
      <c r="N11" s="2">
        <f t="shared" si="6"/>
        <v>9986.6392710237997</v>
      </c>
      <c r="O11" s="2">
        <f t="shared" si="7"/>
        <v>9982.9781189248006</v>
      </c>
      <c r="P11" s="2">
        <f t="shared" si="8"/>
        <v>9984.8820757900394</v>
      </c>
      <c r="Q11" s="2">
        <f t="shared" si="9"/>
        <v>9980.07297237481</v>
      </c>
      <c r="S11">
        <v>9</v>
      </c>
      <c r="U11">
        <f>$B$6*U10+$B$7*'Станд.норм.распр.'!B11</f>
        <v>3.1303505920732277</v>
      </c>
      <c r="V11">
        <f>$B$6*V10+$B$7*'Станд.норм.распр.'!C11</f>
        <v>-5.2567327024632959</v>
      </c>
      <c r="W11">
        <f>$B$6*W10+$B$7*'Станд.норм.распр.'!D11</f>
        <v>-2.0588532212428845</v>
      </c>
      <c r="X11">
        <f>$B$6*X10+$B$7*'Станд.норм.распр.'!E11</f>
        <v>1.4080158772244999</v>
      </c>
      <c r="Y11">
        <f>$B$6*Y10+$B$7*'Станд.норм.распр.'!F11</f>
        <v>-0.2121196031268785</v>
      </c>
      <c r="Z11">
        <f>$B$6*Z10+$B$7*'Станд.норм.распр.'!G11</f>
        <v>5.9339606695019143</v>
      </c>
      <c r="AA11">
        <f>$B$6*AA10+$B$7*'Станд.норм.распр.'!H11</f>
        <v>6.6392710238004611</v>
      </c>
      <c r="AB11">
        <f>$B$6*AB10+$B$7*'Станд.норм.распр.'!I11</f>
        <v>2.9781189248012652</v>
      </c>
      <c r="AC11">
        <f>$B$6*AC10+$B$7*'Станд.норм.распр.'!J11</f>
        <v>4.8820757900385754</v>
      </c>
      <c r="AD11">
        <f>$B$6*AD10+$B$7*'Станд.норм.распр.'!K11</f>
        <v>7.2972374809410878E-2</v>
      </c>
    </row>
    <row r="12" spans="1:30" x14ac:dyDescent="0.3">
      <c r="C12" s="4" t="s">
        <v>20</v>
      </c>
      <c r="D12" s="4" t="s">
        <v>5</v>
      </c>
      <c r="E12" s="4">
        <v>790</v>
      </c>
      <c r="F12" s="4" t="s">
        <v>238</v>
      </c>
      <c r="G12" s="4" t="s">
        <v>5</v>
      </c>
      <c r="H12" s="2">
        <f t="shared" si="10"/>
        <v>8706.3617221245331</v>
      </c>
      <c r="I12" s="2">
        <f t="shared" si="1"/>
        <v>8694.9354943472554</v>
      </c>
      <c r="J12" s="2">
        <f t="shared" si="2"/>
        <v>8704.5015599269245</v>
      </c>
      <c r="K12" s="2">
        <f t="shared" si="3"/>
        <v>8709.2090080449034</v>
      </c>
      <c r="L12" s="2">
        <f t="shared" si="4"/>
        <v>8705.60905166462</v>
      </c>
      <c r="M12" s="2">
        <f t="shared" si="5"/>
        <v>8709.749938625233</v>
      </c>
      <c r="N12" s="2">
        <f t="shared" si="6"/>
        <v>8715.0846829969087</v>
      </c>
      <c r="O12" s="2">
        <f t="shared" si="7"/>
        <v>8709.0733053225122</v>
      </c>
      <c r="P12" s="2">
        <f t="shared" si="8"/>
        <v>8706.7270785262008</v>
      </c>
      <c r="Q12" s="2">
        <f t="shared" si="9"/>
        <v>8703.1554586697966</v>
      </c>
      <c r="S12">
        <v>10</v>
      </c>
      <c r="U12">
        <f>$B$6*U11+$B$7*'Станд.норм.распр.'!B12</f>
        <v>2.3617221245331166</v>
      </c>
      <c r="V12">
        <f>$B$6*V11+$B$7*'Станд.норм.распр.'!C12</f>
        <v>-9.0645056527449697</v>
      </c>
      <c r="W12">
        <f>$B$6*W11+$B$7*'Станд.норм.распр.'!D12</f>
        <v>0.50155992692424434</v>
      </c>
      <c r="X12">
        <f>$B$6*X11+$B$7*'Станд.норм.распр.'!E12</f>
        <v>5.2090080449040954</v>
      </c>
      <c r="Y12">
        <f>$B$6*Y11+$B$7*'Станд.норм.распр.'!F12</f>
        <v>1.6090516646194222</v>
      </c>
      <c r="Z12">
        <f>$B$6*Z11+$B$7*'Станд.норм.распр.'!G12</f>
        <v>5.7499386252324314</v>
      </c>
      <c r="AA12">
        <f>$B$6*AA11+$B$7*'Станд.норм.распр.'!H12</f>
        <v>11.084682996909066</v>
      </c>
      <c r="AB12">
        <f>$B$6*AB11+$B$7*'Станд.норм.распр.'!I12</f>
        <v>5.0733053225116009</v>
      </c>
      <c r="AC12">
        <f>$B$6*AC11+$B$7*'Станд.норм.распр.'!J12</f>
        <v>2.7270785262003825</v>
      </c>
      <c r="AD12">
        <f>$B$6*AD11+$B$7*'Станд.норм.распр.'!K12</f>
        <v>-0.84454133020273014</v>
      </c>
    </row>
    <row r="13" spans="1:30" x14ac:dyDescent="0.3">
      <c r="C13" s="4" t="s">
        <v>21</v>
      </c>
      <c r="D13" s="4" t="s">
        <v>5</v>
      </c>
      <c r="E13" s="4">
        <v>127</v>
      </c>
      <c r="F13" s="4" t="s">
        <v>239</v>
      </c>
      <c r="G13" s="4" t="s">
        <v>5</v>
      </c>
      <c r="H13" s="2">
        <f t="shared" si="10"/>
        <v>1411.4743064607737</v>
      </c>
      <c r="I13" s="2">
        <f t="shared" si="1"/>
        <v>1403.6285411833148</v>
      </c>
      <c r="J13" s="2">
        <f t="shared" si="1"/>
        <v>1411.0563754709581</v>
      </c>
      <c r="K13" s="2">
        <f t="shared" si="3"/>
        <v>1411.8541405416286</v>
      </c>
      <c r="L13" s="2">
        <f t="shared" si="4"/>
        <v>1413.4605178691406</v>
      </c>
      <c r="M13" s="2">
        <f t="shared" si="5"/>
        <v>1411.3177794394294</v>
      </c>
      <c r="N13" s="2">
        <f t="shared" si="6"/>
        <v>1417.1773620679162</v>
      </c>
      <c r="O13" s="2">
        <f t="shared" si="7"/>
        <v>1420.8505180146092</v>
      </c>
      <c r="P13" s="2">
        <f t="shared" si="8"/>
        <v>1411.1331975679093</v>
      </c>
      <c r="Q13" s="2">
        <f t="shared" si="9"/>
        <v>1410.2016350858214</v>
      </c>
      <c r="S13">
        <v>11</v>
      </c>
      <c r="U13">
        <f>$B$6*U12+$B$7*'Станд.норм.распр.'!B13</f>
        <v>0.4743064607737324</v>
      </c>
      <c r="V13">
        <f>$B$6*V12+$B$7*'Станд.норм.распр.'!C13</f>
        <v>-7.3714588166851058</v>
      </c>
      <c r="W13">
        <f>$B$6*W12+$B$7*'Станд.норм.распр.'!D13</f>
        <v>5.6375470958158758E-2</v>
      </c>
      <c r="X13">
        <f>$B$6*X12+$B$7*'Станд.норм.распр.'!E13</f>
        <v>0.85414054162846753</v>
      </c>
      <c r="Y13">
        <f>$B$6*Y12+$B$7*'Станд.норм.распр.'!F13</f>
        <v>2.4605178691405776</v>
      </c>
      <c r="Z13">
        <f>$B$6*Z12+$B$7*'Станд.норм.распр.'!G13</f>
        <v>0.31777943942934428</v>
      </c>
      <c r="AA13">
        <f>$B$6*AA12+$B$7*'Станд.норм.распр.'!H13</f>
        <v>6.1773620679161638</v>
      </c>
      <c r="AB13">
        <f>$B$6*AB12+$B$7*'Станд.норм.распр.'!I13</f>
        <v>9.850518014609122</v>
      </c>
      <c r="AC13">
        <f>$B$6*AC12+$B$7*'Станд.норм.распр.'!J13</f>
        <v>0.13319756790931825</v>
      </c>
      <c r="AD13">
        <f>$B$6*AD12+$B$7*'Станд.норм.распр.'!K13</f>
        <v>-0.7983649141785063</v>
      </c>
    </row>
    <row r="14" spans="1:30" x14ac:dyDescent="0.3">
      <c r="C14" s="4" t="s">
        <v>22</v>
      </c>
      <c r="D14" s="4" t="s">
        <v>5</v>
      </c>
      <c r="E14" s="4">
        <v>685</v>
      </c>
      <c r="F14" s="4" t="s">
        <v>240</v>
      </c>
      <c r="G14" s="4" t="s">
        <v>5</v>
      </c>
      <c r="H14" s="2">
        <f t="shared" si="10"/>
        <v>7548.3285339172644</v>
      </c>
      <c r="I14" s="2">
        <f t="shared" si="1"/>
        <v>7543.2917408213279</v>
      </c>
      <c r="J14" s="2">
        <f t="shared" si="2"/>
        <v>7549.0386310083923</v>
      </c>
      <c r="K14" s="2">
        <f t="shared" si="3"/>
        <v>7550.2383645559003</v>
      </c>
      <c r="L14" s="2">
        <f t="shared" si="4"/>
        <v>7551.7649084620271</v>
      </c>
      <c r="M14" s="2">
        <f t="shared" si="5"/>
        <v>7546.0369786700394</v>
      </c>
      <c r="N14" s="2">
        <f t="shared" si="6"/>
        <v>7553.4576740595658</v>
      </c>
      <c r="O14" s="2">
        <f t="shared" si="7"/>
        <v>7551.8172117239046</v>
      </c>
      <c r="P14" s="2">
        <f t="shared" si="8"/>
        <v>7546.3513887538084</v>
      </c>
      <c r="Q14" s="2">
        <f t="shared" si="9"/>
        <v>7548.5109549189019</v>
      </c>
      <c r="S14">
        <v>12</v>
      </c>
      <c r="U14">
        <f>$B$6*U13+$B$7*'Станд.норм.распр.'!B14</f>
        <v>-0.6714660827356056</v>
      </c>
      <c r="V14">
        <f>$B$6*V13+$B$7*'Станд.норм.распр.'!C14</f>
        <v>-5.7082591786716819</v>
      </c>
      <c r="W14">
        <f>$B$6*W13+$B$7*'Станд.норм.распр.'!D14</f>
        <v>3.8631008392187027E-2</v>
      </c>
      <c r="X14">
        <f>$B$6*X13+$B$7*'Станд.норм.распр.'!E14</f>
        <v>1.2383645558999845</v>
      </c>
      <c r="Y14">
        <f>$B$6*Y13+$B$7*'Станд.норм.распр.'!F14</f>
        <v>2.7649084620273658</v>
      </c>
      <c r="Z14">
        <f>$B$6*Z13+$B$7*'Станд.норм.распр.'!G14</f>
        <v>-2.9630213299602914</v>
      </c>
      <c r="AA14">
        <f>$B$6*AA13+$B$7*'Станд.норм.распр.'!H14</f>
        <v>4.4576740595658606</v>
      </c>
      <c r="AB14">
        <f>$B$6*AB13+$B$7*'Станд.норм.распр.'!I14</f>
        <v>2.817211723904478</v>
      </c>
      <c r="AC14">
        <f>$B$6*AC13+$B$7*'Станд.норм.распр.'!J14</f>
        <v>-2.6486112461917495</v>
      </c>
      <c r="AD14">
        <f>$B$6*AD13+$B$7*'Станд.норм.распр.'!K14</f>
        <v>-0.48904508109792733</v>
      </c>
    </row>
    <row r="15" spans="1:30" x14ac:dyDescent="0.3">
      <c r="C15" s="4" t="s">
        <v>23</v>
      </c>
      <c r="D15" s="4" t="s">
        <v>5</v>
      </c>
      <c r="E15" s="4">
        <v>320</v>
      </c>
      <c r="F15" s="4" t="s">
        <v>241</v>
      </c>
      <c r="G15" s="4" t="s">
        <v>5</v>
      </c>
      <c r="H15" s="2">
        <f t="shared" si="10"/>
        <v>3534.104057669148</v>
      </c>
      <c r="I15" s="2">
        <f t="shared" si="1"/>
        <v>3536.999614779897</v>
      </c>
      <c r="J15" s="2">
        <f t="shared" si="2"/>
        <v>3535.7539219893115</v>
      </c>
      <c r="K15" s="2">
        <f t="shared" si="3"/>
        <v>3535.2596018353352</v>
      </c>
      <c r="L15" s="2">
        <f t="shared" si="4"/>
        <v>3530.2831630017422</v>
      </c>
      <c r="M15" s="2">
        <f t="shared" si="5"/>
        <v>3536.6135483469079</v>
      </c>
      <c r="N15" s="2">
        <f t="shared" si="6"/>
        <v>3535.1038601896798</v>
      </c>
      <c r="O15" s="2">
        <f t="shared" si="7"/>
        <v>3540.8241283990301</v>
      </c>
      <c r="P15" s="2">
        <f t="shared" si="8"/>
        <v>3532.1207207098823</v>
      </c>
      <c r="Q15" s="2">
        <f t="shared" si="9"/>
        <v>3532.7800716766405</v>
      </c>
      <c r="S15">
        <v>13</v>
      </c>
      <c r="U15">
        <f>$B$6*U14+$B$7*'Станд.норм.распр.'!B15</f>
        <v>0.10405766914800552</v>
      </c>
      <c r="V15">
        <f>$B$6*V14+$B$7*'Станд.норм.распр.'!C15</f>
        <v>2.9996147798971862</v>
      </c>
      <c r="W15">
        <f>$B$6*W14+$B$7*'Станд.норм.распр.'!D15</f>
        <v>1.7539219893114577</v>
      </c>
      <c r="X15">
        <f>$B$6*X14+$B$7*'Станд.норм.распр.'!E15</f>
        <v>1.2596018353350225</v>
      </c>
      <c r="Y15">
        <f>$B$6*Y14+$B$7*'Станд.норм.распр.'!F15</f>
        <v>-3.716836998257647</v>
      </c>
      <c r="Z15">
        <f>$B$6*Z14+$B$7*'Станд.норм.распр.'!G15</f>
        <v>2.6135483469080789</v>
      </c>
      <c r="AA15">
        <f>$B$6*AA14+$B$7*'Станд.норм.распр.'!H15</f>
        <v>1.1038601896799103</v>
      </c>
      <c r="AB15">
        <f>$B$6*AB14+$B$7*'Станд.норм.распр.'!I15</f>
        <v>6.8241283990300161</v>
      </c>
      <c r="AC15">
        <f>$B$6*AC14+$B$7*'Станд.норм.распр.'!J15</f>
        <v>-1.8792792901177156</v>
      </c>
      <c r="AD15">
        <f>$B$6*AD14+$B$7*'Станд.норм.распр.'!K15</f>
        <v>-1.2199283233593761</v>
      </c>
    </row>
    <row r="16" spans="1:30" x14ac:dyDescent="0.3">
      <c r="C16" s="4" t="s">
        <v>24</v>
      </c>
      <c r="D16" s="4" t="s">
        <v>5</v>
      </c>
      <c r="E16" s="4">
        <v>658</v>
      </c>
      <c r="F16" s="4" t="s">
        <v>242</v>
      </c>
      <c r="G16" s="4" t="s">
        <v>5</v>
      </c>
      <c r="H16" s="2">
        <f t="shared" si="10"/>
        <v>7252.0714215353528</v>
      </c>
      <c r="I16" s="2">
        <f t="shared" si="1"/>
        <v>7254.524950027394</v>
      </c>
      <c r="J16" s="2">
        <f t="shared" si="2"/>
        <v>7252.8387485747608</v>
      </c>
      <c r="K16" s="2">
        <f t="shared" si="3"/>
        <v>7248.909280918916</v>
      </c>
      <c r="L16" s="2">
        <f t="shared" si="4"/>
        <v>7255.4793422409475</v>
      </c>
      <c r="M16" s="2">
        <f t="shared" si="5"/>
        <v>7255.1696671599911</v>
      </c>
      <c r="N16" s="2">
        <f t="shared" si="6"/>
        <v>7252.7472554507294</v>
      </c>
      <c r="O16" s="2">
        <f t="shared" si="7"/>
        <v>7253.9170424930826</v>
      </c>
      <c r="P16" s="2">
        <f t="shared" si="8"/>
        <v>7249.6872916562006</v>
      </c>
      <c r="Q16" s="2">
        <f t="shared" si="9"/>
        <v>7254.9691385058932</v>
      </c>
      <c r="S16">
        <v>14</v>
      </c>
      <c r="U16">
        <f>$B$6*U15+$B$7*'Станд.норм.распр.'!B16</f>
        <v>7.142153535255602E-2</v>
      </c>
      <c r="V16">
        <f>$B$6*V15+$B$7*'Станд.норм.распр.'!C16</f>
        <v>2.5249500273938352</v>
      </c>
      <c r="W16">
        <f>$B$6*W15+$B$7*'Станд.норм.распр.'!D16</f>
        <v>0.83874857476073927</v>
      </c>
      <c r="X16">
        <f>$B$6*X15+$B$7*'Станд.норм.распр.'!E16</f>
        <v>-3.0907190810836038</v>
      </c>
      <c r="Y16">
        <f>$B$6*Y15+$B$7*'Станд.норм.распр.'!F16</f>
        <v>3.4793422409473682</v>
      </c>
      <c r="Z16">
        <f>$B$6*Z15+$B$7*'Станд.норм.распр.'!G16</f>
        <v>3.1696671599912296</v>
      </c>
      <c r="AA16">
        <f>$B$6*AA15+$B$7*'Станд.норм.распр.'!H16</f>
        <v>0.74725545072946364</v>
      </c>
      <c r="AB16">
        <f>$B$6*AB15+$B$7*'Станд.норм.распр.'!I16</f>
        <v>1.9170424930825547</v>
      </c>
      <c r="AC16">
        <f>$B$6*AC15+$B$7*'Станд.норм.распр.'!J16</f>
        <v>-2.3127083437989562</v>
      </c>
      <c r="AD16">
        <f>$B$6*AD15+$B$7*'Станд.норм.распр.'!K16</f>
        <v>2.9691385058927615</v>
      </c>
    </row>
    <row r="17" spans="3:30" x14ac:dyDescent="0.3">
      <c r="C17" s="4" t="s">
        <v>25</v>
      </c>
      <c r="D17" s="4" t="s">
        <v>5</v>
      </c>
      <c r="E17" s="4">
        <v>436</v>
      </c>
      <c r="F17" s="4" t="s">
        <v>243</v>
      </c>
      <c r="G17" s="4" t="s">
        <v>5</v>
      </c>
      <c r="H17" s="2">
        <f t="shared" si="10"/>
        <v>4809.4032720262994</v>
      </c>
      <c r="I17" s="2">
        <f t="shared" si="1"/>
        <v>4811.5137206513245</v>
      </c>
      <c r="J17" s="2">
        <f t="shared" si="2"/>
        <v>4809.7467517963423</v>
      </c>
      <c r="K17" s="2">
        <f t="shared" si="3"/>
        <v>4809.8043055857852</v>
      </c>
      <c r="L17" s="2">
        <f t="shared" si="4"/>
        <v>4808.6955832586927</v>
      </c>
      <c r="M17" s="2">
        <f t="shared" si="5"/>
        <v>4811.6455389407338</v>
      </c>
      <c r="N17" s="2">
        <f t="shared" si="6"/>
        <v>4810.6246448524489</v>
      </c>
      <c r="O17" s="2">
        <f t="shared" si="7"/>
        <v>4810.7091173356839</v>
      </c>
      <c r="P17" s="2">
        <f t="shared" si="8"/>
        <v>4808.3576345968404</v>
      </c>
      <c r="Q17" s="2">
        <f t="shared" si="9"/>
        <v>4811.0846369355104</v>
      </c>
      <c r="S17">
        <v>15</v>
      </c>
      <c r="U17">
        <f>$B$6*U16+$B$7*'Станд.норм.распр.'!B17</f>
        <v>-0.59672797370069475</v>
      </c>
      <c r="V17">
        <f>$B$6*V16+$B$7*'Станд.норм.распр.'!C17</f>
        <v>1.5137206513249346</v>
      </c>
      <c r="W17">
        <f>$B$6*W16+$B$7*'Станд.норм.распр.'!D17</f>
        <v>-0.25324820365768552</v>
      </c>
      <c r="X17">
        <f>$B$6*X16+$B$7*'Станд.норм.распр.'!E17</f>
        <v>-0.19569441421507516</v>
      </c>
      <c r="Y17">
        <f>$B$6*Y16+$B$7*'Станд.норм.распр.'!F17</f>
        <v>-1.3044167413073244</v>
      </c>
      <c r="Z17">
        <f>$B$6*Z16+$B$7*'Станд.норм.распр.'!G17</f>
        <v>1.6455389407338261</v>
      </c>
      <c r="AA17">
        <f>$B$6*AA16+$B$7*'Станд.норм.распр.'!H17</f>
        <v>0.62464485244892831</v>
      </c>
      <c r="AB17">
        <f>$B$6*AB16+$B$7*'Станд.норм.распр.'!I17</f>
        <v>0.70911733568435054</v>
      </c>
      <c r="AC17">
        <f>$B$6*AC16+$B$7*'Станд.норм.распр.'!J17</f>
        <v>-1.6423654031593866</v>
      </c>
      <c r="AD17">
        <f>$B$6*AD16+$B$7*'Станд.норм.распр.'!K17</f>
        <v>1.0846369355106407</v>
      </c>
    </row>
    <row r="18" spans="3:30" x14ac:dyDescent="0.3">
      <c r="C18" s="4" t="s">
        <v>26</v>
      </c>
      <c r="D18" s="4" t="s">
        <v>5</v>
      </c>
      <c r="E18" s="4">
        <v>686</v>
      </c>
      <c r="F18" s="4" t="s">
        <v>244</v>
      </c>
      <c r="G18" s="4" t="s">
        <v>5</v>
      </c>
      <c r="H18" s="2">
        <f t="shared" si="10"/>
        <v>7559.0061658783343</v>
      </c>
      <c r="I18" s="2">
        <f t="shared" si="1"/>
        <v>7561.3527407906331</v>
      </c>
      <c r="J18" s="2">
        <f t="shared" si="2"/>
        <v>7562.8341494977958</v>
      </c>
      <c r="K18" s="2">
        <f t="shared" si="3"/>
        <v>7560.3106512013255</v>
      </c>
      <c r="L18" s="2">
        <f t="shared" si="4"/>
        <v>7561.0485990176066</v>
      </c>
      <c r="M18" s="2">
        <f t="shared" si="5"/>
        <v>7558.9926046506735</v>
      </c>
      <c r="N18" s="2">
        <f t="shared" si="6"/>
        <v>7556.885323546464</v>
      </c>
      <c r="O18" s="2">
        <f t="shared" si="7"/>
        <v>7562.0233950435986</v>
      </c>
      <c r="P18" s="2">
        <f t="shared" si="8"/>
        <v>7555.7081786952449</v>
      </c>
      <c r="Q18" s="2">
        <f t="shared" si="9"/>
        <v>7560.1648395129951</v>
      </c>
      <c r="S18">
        <v>16</v>
      </c>
      <c r="U18">
        <f>$B$6*U17+$B$7*'Станд.норм.распр.'!B18</f>
        <v>-0.99383412166531571</v>
      </c>
      <c r="V18">
        <f>$B$6*V17+$B$7*'Станд.норм.распр.'!C18</f>
        <v>1.3527407906333</v>
      </c>
      <c r="W18">
        <f>$B$6*W17+$B$7*'Станд.норм.распр.'!D18</f>
        <v>2.8341494977962567</v>
      </c>
      <c r="X18">
        <f>$B$6*X17+$B$7*'Станд.норм.распр.'!E18</f>
        <v>0.31065120132539592</v>
      </c>
      <c r="Y18">
        <f>$B$6*Y17+$B$7*'Станд.норм.распр.'!F18</f>
        <v>1.0485990176070654</v>
      </c>
      <c r="Z18">
        <f>$B$6*Z17+$B$7*'Станд.норм.распр.'!G18</f>
        <v>-1.0073953493269783</v>
      </c>
      <c r="AA18">
        <f>$B$6*AA17+$B$7*'Станд.норм.распр.'!H18</f>
        <v>-3.1146764535360156</v>
      </c>
      <c r="AB18">
        <f>$B$6*AB17+$B$7*'Станд.норм.распр.'!I18</f>
        <v>2.0233950435988302</v>
      </c>
      <c r="AC18">
        <f>$B$6*AC17+$B$7*'Станд.норм.распр.'!J18</f>
        <v>-4.2918213047554508</v>
      </c>
      <c r="AD18">
        <f>$B$6*AD17+$B$7*'Станд.норм.распр.'!K18</f>
        <v>0.16483951299472976</v>
      </c>
    </row>
    <row r="19" spans="3:30" x14ac:dyDescent="0.3">
      <c r="C19" s="4" t="s">
        <v>27</v>
      </c>
      <c r="D19" s="4" t="s">
        <v>5</v>
      </c>
      <c r="E19" s="4">
        <v>797</v>
      </c>
      <c r="F19" s="4" t="s">
        <v>245</v>
      </c>
      <c r="G19" s="4" t="s">
        <v>5</v>
      </c>
      <c r="H19" s="2">
        <f t="shared" si="10"/>
        <v>8783.1306131325891</v>
      </c>
      <c r="I19" s="2">
        <f t="shared" si="1"/>
        <v>8782.2846586417563</v>
      </c>
      <c r="J19" s="2">
        <f t="shared" si="2"/>
        <v>8784.8255758807663</v>
      </c>
      <c r="K19" s="2">
        <f t="shared" si="3"/>
        <v>8782.9389902299918</v>
      </c>
      <c r="L19" s="2">
        <f t="shared" si="4"/>
        <v>8775.9435969238384</v>
      </c>
      <c r="M19" s="2">
        <f t="shared" si="5"/>
        <v>8783.7551628134679</v>
      </c>
      <c r="N19" s="2">
        <f t="shared" si="6"/>
        <v>8777.6313893261176</v>
      </c>
      <c r="O19" s="2">
        <f t="shared" si="7"/>
        <v>8781.6298188864184</v>
      </c>
      <c r="P19" s="2">
        <f t="shared" si="8"/>
        <v>8776.193735490413</v>
      </c>
      <c r="Q19" s="2">
        <f t="shared" si="9"/>
        <v>8782.3395210595518</v>
      </c>
      <c r="S19">
        <v>17</v>
      </c>
      <c r="U19">
        <f>$B$6*U18+$B$7*'Станд.норм.распр.'!B19</f>
        <v>2.1306131325893318</v>
      </c>
      <c r="V19">
        <f>$B$6*V18+$B$7*'Станд.норм.распр.'!C19</f>
        <v>1.2846586417564199</v>
      </c>
      <c r="W19">
        <f>$B$6*W18+$B$7*'Станд.норм.распр.'!D19</f>
        <v>3.8255758807656526</v>
      </c>
      <c r="X19">
        <f>$B$6*X18+$B$7*'Станд.норм.распр.'!E19</f>
        <v>1.9389902299916939</v>
      </c>
      <c r="Y19">
        <f>$B$6*Y18+$B$7*'Станд.норм.распр.'!F19</f>
        <v>-5.0564030761609171</v>
      </c>
      <c r="Z19">
        <f>$B$6*Z18+$B$7*'Станд.норм.распр.'!G19</f>
        <v>2.7551628134676873</v>
      </c>
      <c r="AA19">
        <f>$B$6*AA18+$B$7*'Станд.норм.распр.'!H19</f>
        <v>-3.3686106738818777</v>
      </c>
      <c r="AB19">
        <f>$B$6*AB18+$B$7*'Станд.норм.распр.'!I19</f>
        <v>0.62981888641899797</v>
      </c>
      <c r="AC19">
        <f>$B$6*AC18+$B$7*'Станд.норм.распр.'!J19</f>
        <v>-4.8062645095867005</v>
      </c>
      <c r="AD19">
        <f>$B$6*AD18+$B$7*'Станд.норм.распр.'!K19</f>
        <v>1.339521059551152</v>
      </c>
    </row>
    <row r="20" spans="3:30" x14ac:dyDescent="0.3">
      <c r="C20" s="4" t="s">
        <v>28</v>
      </c>
      <c r="D20" s="4" t="s">
        <v>5</v>
      </c>
      <c r="E20" s="4">
        <v>464</v>
      </c>
      <c r="F20" s="4" t="s">
        <v>246</v>
      </c>
      <c r="G20" s="4" t="s">
        <v>5</v>
      </c>
      <c r="H20" s="2">
        <f t="shared" si="10"/>
        <v>5116.9809902734005</v>
      </c>
      <c r="I20" s="2">
        <f t="shared" si="1"/>
        <v>5119.0235121928117</v>
      </c>
      <c r="J20" s="2">
        <f t="shared" si="2"/>
        <v>5119.646798256771</v>
      </c>
      <c r="K20" s="2">
        <f t="shared" si="3"/>
        <v>5120.0072979186898</v>
      </c>
      <c r="L20" s="2">
        <f t="shared" si="4"/>
        <v>5110.878395470615</v>
      </c>
      <c r="M20" s="2">
        <f t="shared" si="5"/>
        <v>5119.4931599934353</v>
      </c>
      <c r="N20" s="2">
        <f t="shared" si="6"/>
        <v>5122.2116213965601</v>
      </c>
      <c r="O20" s="2">
        <f t="shared" si="7"/>
        <v>5117.9716388579191</v>
      </c>
      <c r="P20" s="2">
        <f t="shared" si="8"/>
        <v>5115.6715770506153</v>
      </c>
      <c r="Q20" s="2">
        <f t="shared" si="9"/>
        <v>5116.6046800498243</v>
      </c>
      <c r="S20">
        <v>18</v>
      </c>
      <c r="U20">
        <f>$B$6*U19+$B$7*'Станд.норм.распр.'!B20</f>
        <v>-1.0190097265994069</v>
      </c>
      <c r="V20">
        <f>$B$6*V19+$B$7*'Станд.норм.распр.'!C20</f>
        <v>1.0235121928117707</v>
      </c>
      <c r="W20">
        <f>$B$6*W19+$B$7*'Станд.норм.распр.'!D20</f>
        <v>1.6467982567706929</v>
      </c>
      <c r="X20">
        <f>$B$6*X19+$B$7*'Станд.норм.распр.'!E20</f>
        <v>2.0072979186897681</v>
      </c>
      <c r="Y20">
        <f>$B$6*Y19+$B$7*'Станд.норм.распр.'!F20</f>
        <v>-7.1216045293846326</v>
      </c>
      <c r="Z20">
        <f>$B$6*Z19+$B$7*'Станд.норм.распр.'!G20</f>
        <v>1.4931599934351474</v>
      </c>
      <c r="AA20">
        <f>$B$6*AA19+$B$7*'Станд.норм.распр.'!H20</f>
        <v>4.2116213965603162</v>
      </c>
      <c r="AB20">
        <f>$B$6*AB19+$B$7*'Станд.норм.распр.'!I20</f>
        <v>-2.836114208065732E-2</v>
      </c>
      <c r="AC20">
        <f>$B$6*AC19+$B$7*'Станд.норм.распр.'!J20</f>
        <v>-2.3284229493845903</v>
      </c>
      <c r="AD20">
        <f>$B$6*AD19+$B$7*'Станд.норм.распр.'!K20</f>
        <v>-1.3953199501759994</v>
      </c>
    </row>
    <row r="21" spans="3:30" x14ac:dyDescent="0.3">
      <c r="C21" s="4" t="s">
        <v>29</v>
      </c>
      <c r="D21" s="4" t="s">
        <v>5</v>
      </c>
      <c r="E21" s="4">
        <v>514</v>
      </c>
      <c r="F21" s="4" t="s">
        <v>247</v>
      </c>
      <c r="G21" s="4" t="s">
        <v>5</v>
      </c>
      <c r="H21" s="2">
        <f t="shared" si="10"/>
        <v>5665.2493319350124</v>
      </c>
      <c r="I21" s="2">
        <f t="shared" si="1"/>
        <v>5663.5830906206611</v>
      </c>
      <c r="J21" s="2">
        <f t="shared" si="2"/>
        <v>5670.2816374584727</v>
      </c>
      <c r="K21" s="2">
        <f t="shared" si="3"/>
        <v>5669.563990918844</v>
      </c>
      <c r="L21" s="2">
        <f t="shared" si="4"/>
        <v>5665.8301311837276</v>
      </c>
      <c r="M21" s="2">
        <f t="shared" si="5"/>
        <v>5669.4413407256652</v>
      </c>
      <c r="N21" s="2">
        <f t="shared" si="6"/>
        <v>5669.5569191709637</v>
      </c>
      <c r="O21" s="2">
        <f t="shared" si="7"/>
        <v>5667.080320819533</v>
      </c>
      <c r="P21" s="2">
        <f t="shared" si="8"/>
        <v>5669.4321389666165</v>
      </c>
      <c r="Q21" s="2">
        <f t="shared" si="9"/>
        <v>5672.0611982923629</v>
      </c>
      <c r="S21">
        <v>19</v>
      </c>
      <c r="U21">
        <f>$B$6*U20+$B$7*'Станд.норм.распр.'!B21</f>
        <v>-2.7506680649880266</v>
      </c>
      <c r="V21">
        <f>$B$6*V20+$B$7*'Станд.норм.распр.'!C21</f>
        <v>-4.4169093793393346</v>
      </c>
      <c r="W21">
        <f>$B$6*W20+$B$7*'Станд.норм.распр.'!D21</f>
        <v>2.2816374584729711</v>
      </c>
      <c r="X21">
        <f>$B$6*X20+$B$7*'Станд.норм.распр.'!E21</f>
        <v>1.5639909188439396</v>
      </c>
      <c r="Y21">
        <f>$B$6*Y20+$B$7*'Станд.норм.распр.'!F21</f>
        <v>-2.1698688162726429</v>
      </c>
      <c r="Z21">
        <f>$B$6*Z20+$B$7*'Станд.норм.распр.'!G21</f>
        <v>1.4413407256651591</v>
      </c>
      <c r="AA21">
        <f>$B$6*AA20+$B$7*'Станд.норм.распр.'!H21</f>
        <v>1.5569191709638481</v>
      </c>
      <c r="AB21">
        <f>$B$6*AB20+$B$7*'Станд.норм.распр.'!I21</f>
        <v>-0.91967918046734209</v>
      </c>
      <c r="AC21">
        <f>$B$6*AC20+$B$7*'Станд.норм.распр.'!J21</f>
        <v>1.4321389666161641</v>
      </c>
      <c r="AD21">
        <f>$B$6*AD20+$B$7*'Станд.норм.распр.'!K21</f>
        <v>4.0611982923626906</v>
      </c>
    </row>
    <row r="22" spans="3:30" x14ac:dyDescent="0.3">
      <c r="C22" s="4" t="s">
        <v>30</v>
      </c>
      <c r="D22" s="4" t="s">
        <v>5</v>
      </c>
      <c r="E22" s="4">
        <v>724</v>
      </c>
      <c r="F22" s="4" t="s">
        <v>248</v>
      </c>
      <c r="G22" s="4" t="s">
        <v>5</v>
      </c>
      <c r="H22" s="2">
        <f t="shared" si="10"/>
        <v>7975.2245307064413</v>
      </c>
      <c r="I22" s="2">
        <f t="shared" si="1"/>
        <v>7978.4686043114743</v>
      </c>
      <c r="J22" s="2">
        <f t="shared" si="2"/>
        <v>7977.3332730427755</v>
      </c>
      <c r="K22" s="2">
        <f t="shared" si="3"/>
        <v>7978.2822599531119</v>
      </c>
      <c r="L22" s="2">
        <f t="shared" si="4"/>
        <v>7971.7404023690324</v>
      </c>
      <c r="M22" s="2">
        <f t="shared" si="5"/>
        <v>7981.3083578671067</v>
      </c>
      <c r="N22" s="2">
        <f t="shared" si="6"/>
        <v>7978.2647576511581</v>
      </c>
      <c r="O22" s="2">
        <f t="shared" si="7"/>
        <v>7977.2750950001446</v>
      </c>
      <c r="P22" s="2">
        <f t="shared" si="8"/>
        <v>7976.2671185745794</v>
      </c>
      <c r="Q22" s="2">
        <f t="shared" si="9"/>
        <v>7982.3117005339609</v>
      </c>
      <c r="S22">
        <v>20</v>
      </c>
      <c r="U22">
        <f>$B$6*U21+$B$7*'Станд.норм.распр.'!B22</f>
        <v>-2.7754692935588743</v>
      </c>
      <c r="V22">
        <f>$B$6*V21+$B$7*'Станд.норм.распр.'!C22</f>
        <v>0.46860431147412163</v>
      </c>
      <c r="W22">
        <f>$B$6*W21+$B$7*'Станд.норм.распр.'!D22</f>
        <v>-0.66672695722431308</v>
      </c>
      <c r="X22">
        <f>$B$6*X21+$B$7*'Станд.норм.распр.'!E22</f>
        <v>0.28225995311230778</v>
      </c>
      <c r="Y22">
        <f>$B$6*Y21+$B$7*'Станд.норм.распр.'!F22</f>
        <v>-6.2595976309677512</v>
      </c>
      <c r="Z22">
        <f>$B$6*Z21+$B$7*'Станд.норм.распр.'!G22</f>
        <v>3.3083578671066518</v>
      </c>
      <c r="AA22">
        <f>$B$6*AA21+$B$7*'Станд.норм.распр.'!H22</f>
        <v>0.26475765115816152</v>
      </c>
      <c r="AB22">
        <f>$B$6*AB21+$B$7*'Станд.норм.распр.'!I22</f>
        <v>-0.72490499985512769</v>
      </c>
      <c r="AC22">
        <f>$B$6*AC21+$B$7*'Станд.норм.распр.'!J22</f>
        <v>-1.7328814254207932</v>
      </c>
      <c r="AD22">
        <f>$B$6*AD21+$B$7*'Станд.норм.распр.'!K22</f>
        <v>4.3117005339612717</v>
      </c>
    </row>
    <row r="23" spans="3:30" x14ac:dyDescent="0.3">
      <c r="C23" s="4" t="s">
        <v>31</v>
      </c>
      <c r="D23" s="4" t="s">
        <v>5</v>
      </c>
      <c r="E23" s="4">
        <v>63</v>
      </c>
      <c r="F23" s="4" t="s">
        <v>249</v>
      </c>
      <c r="G23" s="4" t="s">
        <v>5</v>
      </c>
      <c r="H23" s="2">
        <f t="shared" si="10"/>
        <v>707.15660099925151</v>
      </c>
      <c r="I23" s="2">
        <f t="shared" si="1"/>
        <v>709.29618348807514</v>
      </c>
      <c r="J23" s="2">
        <f t="shared" si="2"/>
        <v>704.70589668422883</v>
      </c>
      <c r="K23" s="2">
        <f t="shared" si="3"/>
        <v>705.03836913111013</v>
      </c>
      <c r="L23" s="2">
        <f t="shared" si="4"/>
        <v>705.21402735485742</v>
      </c>
      <c r="M23" s="2">
        <f t="shared" si="5"/>
        <v>709.89451370177994</v>
      </c>
      <c r="N23" s="2">
        <f t="shared" si="6"/>
        <v>706.22327520652789</v>
      </c>
      <c r="O23" s="2">
        <f t="shared" si="7"/>
        <v>701.67854128107604</v>
      </c>
      <c r="P23" s="2">
        <f t="shared" si="8"/>
        <v>705.28936630510395</v>
      </c>
      <c r="Q23" s="2">
        <f t="shared" si="9"/>
        <v>706.15560232356188</v>
      </c>
      <c r="S23">
        <v>21</v>
      </c>
      <c r="U23">
        <f>$B$6*U22+$B$7*'Станд.норм.распр.'!B23</f>
        <v>0.1566009992515216</v>
      </c>
      <c r="V23">
        <f>$B$6*V22+$B$7*'Станд.норм.распр.'!C23</f>
        <v>2.2961834880751502</v>
      </c>
      <c r="W23">
        <f>$B$6*W22+$B$7*'Станд.норм.распр.'!D23</f>
        <v>-2.2941033157712099</v>
      </c>
      <c r="X23">
        <f>$B$6*X22+$B$7*'Станд.норм.распр.'!E23</f>
        <v>-1.9616308688898738</v>
      </c>
      <c r="Y23">
        <f>$B$6*Y22+$B$7*'Станд.норм.распр.'!F23</f>
        <v>-1.7859726451425311</v>
      </c>
      <c r="Z23">
        <f>$B$6*Z22+$B$7*'Станд.норм.распр.'!G23</f>
        <v>2.8945137017799292</v>
      </c>
      <c r="AA23">
        <f>$B$6*AA22+$B$7*'Станд.норм.распр.'!H23</f>
        <v>-0.77672479347208512</v>
      </c>
      <c r="AB23">
        <f>$B$6*AB22+$B$7*'Станд.норм.распр.'!I23</f>
        <v>-5.3214587189239282</v>
      </c>
      <c r="AC23">
        <f>$B$6*AC22+$B$7*'Станд.норм.распр.'!J23</f>
        <v>-1.7106336948960286</v>
      </c>
      <c r="AD23">
        <f>$B$6*AD22+$B$7*'Станд.норм.распр.'!K23</f>
        <v>-0.8443976764381631</v>
      </c>
    </row>
    <row r="24" spans="3:30" x14ac:dyDescent="0.3">
      <c r="C24" s="4" t="s">
        <v>32</v>
      </c>
      <c r="D24" s="4" t="s">
        <v>5</v>
      </c>
      <c r="E24" s="4">
        <v>298</v>
      </c>
      <c r="F24" s="4" t="s">
        <v>250</v>
      </c>
      <c r="G24" s="4" t="s">
        <v>5</v>
      </c>
      <c r="H24" s="2">
        <f t="shared" si="10"/>
        <v>3293.9853676438279</v>
      </c>
      <c r="I24" s="2">
        <f t="shared" si="1"/>
        <v>3294.5761837353666</v>
      </c>
      <c r="J24" s="2">
        <f t="shared" si="2"/>
        <v>3286.4400482167975</v>
      </c>
      <c r="K24" s="2">
        <f t="shared" si="3"/>
        <v>3295.0465498867902</v>
      </c>
      <c r="L24" s="2">
        <f t="shared" si="4"/>
        <v>3291.8497206933171</v>
      </c>
      <c r="M24" s="2">
        <f t="shared" si="5"/>
        <v>3294.4272601294178</v>
      </c>
      <c r="N24" s="2">
        <f t="shared" si="6"/>
        <v>3290.5301299563198</v>
      </c>
      <c r="O24" s="2">
        <f t="shared" si="7"/>
        <v>3282.398552773428</v>
      </c>
      <c r="P24" s="2">
        <f t="shared" si="8"/>
        <v>3290.5829394343436</v>
      </c>
      <c r="Q24" s="2">
        <f t="shared" si="9"/>
        <v>3295.1941203525498</v>
      </c>
      <c r="S24">
        <v>22</v>
      </c>
      <c r="U24">
        <f>$B$6*U23+$B$7*'Станд.норм.распр.'!B24</f>
        <v>1.9853676438280621</v>
      </c>
      <c r="V24">
        <f>$B$6*V23+$B$7*'Станд.норм.распр.'!C24</f>
        <v>2.5761837353665586</v>
      </c>
      <c r="W24">
        <f>$B$6*W23+$B$7*'Станд.норм.распр.'!D24</f>
        <v>-5.5599517832024148</v>
      </c>
      <c r="X24">
        <f>$B$6*X23+$B$7*'Станд.норм.распр.'!E24</f>
        <v>3.0465498867903289</v>
      </c>
      <c r="Y24">
        <f>$B$6*Y23+$B$7*'Станд.норм.распр.'!F24</f>
        <v>-0.15027930668296574</v>
      </c>
      <c r="Z24">
        <f>$B$6*Z23+$B$7*'Станд.норм.распр.'!G24</f>
        <v>2.4272601294178391</v>
      </c>
      <c r="AA24">
        <f>$B$6*AA23+$B$7*'Станд.норм.распр.'!H24</f>
        <v>-1.4698700436803926</v>
      </c>
      <c r="AB24">
        <f>$B$6*AB23+$B$7*'Станд.норм.распр.'!I24</f>
        <v>-9.6014472265718886</v>
      </c>
      <c r="AC24">
        <f>$B$6*AC23+$B$7*'Станд.норм.распр.'!J24</f>
        <v>-1.4170605656561772</v>
      </c>
      <c r="AD24">
        <f>$B$6*AD23+$B$7*'Станд.норм.распр.'!K24</f>
        <v>3.1941203525499091</v>
      </c>
    </row>
    <row r="25" spans="3:30" x14ac:dyDescent="0.3">
      <c r="C25" s="4" t="s">
        <v>33</v>
      </c>
      <c r="D25" s="4" t="s">
        <v>5</v>
      </c>
      <c r="E25" s="4">
        <v>689</v>
      </c>
      <c r="F25" s="4" t="s">
        <v>251</v>
      </c>
      <c r="G25" s="4" t="s">
        <v>5</v>
      </c>
      <c r="H25" s="2">
        <f t="shared" si="10"/>
        <v>7591.500247697757</v>
      </c>
      <c r="I25" s="2">
        <f t="shared" si="1"/>
        <v>7597.0268896429197</v>
      </c>
      <c r="J25" s="2">
        <f t="shared" si="2"/>
        <v>7593.3368124291665</v>
      </c>
      <c r="K25" s="2">
        <f t="shared" si="3"/>
        <v>7593.5129616170625</v>
      </c>
      <c r="L25" s="2">
        <f t="shared" si="4"/>
        <v>7597.28166283877</v>
      </c>
      <c r="M25" s="2">
        <f t="shared" si="5"/>
        <v>7594.6817424402379</v>
      </c>
      <c r="N25" s="2">
        <f t="shared" si="6"/>
        <v>7594.4585752049488</v>
      </c>
      <c r="O25" s="2">
        <f t="shared" si="7"/>
        <v>7591.0528819518922</v>
      </c>
      <c r="P25" s="2">
        <f t="shared" si="8"/>
        <v>7592.6233307975408</v>
      </c>
      <c r="Q25" s="2">
        <f t="shared" si="9"/>
        <v>7590.3437218014369</v>
      </c>
      <c r="S25">
        <v>23</v>
      </c>
      <c r="U25">
        <f>$B$6*U24+$B$7*'Станд.норм.распр.'!B25</f>
        <v>-1.4997523022433623</v>
      </c>
      <c r="V25">
        <f>$B$6*V24+$B$7*'Станд.норм.распр.'!C25</f>
        <v>4.0268896429201693</v>
      </c>
      <c r="W25">
        <f>$B$6*W24+$B$7*'Станд.норм.распр.'!D25</f>
        <v>0.33681242916602017</v>
      </c>
      <c r="X25">
        <f>$B$6*X24+$B$7*'Станд.норм.распр.'!E25</f>
        <v>0.5129616170623299</v>
      </c>
      <c r="Y25">
        <f>$B$6*Y24+$B$7*'Станд.норм.распр.'!F25</f>
        <v>4.2816628387699724</v>
      </c>
      <c r="Z25">
        <f>$B$6*Z24+$B$7*'Станд.норм.распр.'!G25</f>
        <v>1.6817424402379368</v>
      </c>
      <c r="AA25">
        <f>$B$6*AA24+$B$7*'Станд.норм.распр.'!H25</f>
        <v>1.4585752049487342</v>
      </c>
      <c r="AB25">
        <f>$B$6*AB24+$B$7*'Станд.норм.распр.'!I25</f>
        <v>-1.9471180481075034</v>
      </c>
      <c r="AC25">
        <f>$B$6*AC24+$B$7*'Станд.норм.распр.'!J25</f>
        <v>-0.37666920245911861</v>
      </c>
      <c r="AD25">
        <f>$B$6*AD24+$B$7*'Станд.норм.распр.'!K25</f>
        <v>-2.6562781985628128</v>
      </c>
    </row>
    <row r="26" spans="3:30" x14ac:dyDescent="0.3">
      <c r="C26" s="4" t="s">
        <v>34</v>
      </c>
      <c r="D26" s="4" t="s">
        <v>5</v>
      </c>
      <c r="E26" s="4">
        <v>278</v>
      </c>
      <c r="F26" s="4" t="s">
        <v>252</v>
      </c>
      <c r="G26" s="4" t="s">
        <v>5</v>
      </c>
      <c r="H26" s="2">
        <f t="shared" si="10"/>
        <v>3069.231911904646</v>
      </c>
      <c r="I26" s="2">
        <f t="shared" si="1"/>
        <v>3074.9820771424788</v>
      </c>
      <c r="J26" s="2">
        <f t="shared" si="2"/>
        <v>3074.7590882301629</v>
      </c>
      <c r="K26" s="2">
        <f t="shared" si="3"/>
        <v>3075.8482368211421</v>
      </c>
      <c r="L26" s="2">
        <f t="shared" si="4"/>
        <v>3075.3110066294485</v>
      </c>
      <c r="M26" s="2">
        <f t="shared" si="5"/>
        <v>3072.5061476112887</v>
      </c>
      <c r="N26" s="2">
        <f t="shared" si="6"/>
        <v>3075.9597309286487</v>
      </c>
      <c r="O26" s="2">
        <f t="shared" si="7"/>
        <v>3068.8076649863419</v>
      </c>
      <c r="P26" s="2">
        <f t="shared" si="8"/>
        <v>3071.793650582465</v>
      </c>
      <c r="Q26" s="2">
        <f t="shared" si="9"/>
        <v>3074.3899116213543</v>
      </c>
      <c r="S26">
        <v>24</v>
      </c>
      <c r="U26">
        <f>$B$6*U25+$B$7*'Станд.норм.распр.'!B26</f>
        <v>-2.7680880953541429</v>
      </c>
      <c r="V26">
        <f>$B$6*V25+$B$7*'Станд.норм.распр.'!C26</f>
        <v>2.9820771424790431</v>
      </c>
      <c r="W26">
        <f>$B$6*W25+$B$7*'Станд.норм.распр.'!D26</f>
        <v>2.7590882301626696</v>
      </c>
      <c r="X26">
        <f>$B$6*X25+$B$7*'Станд.норм.распр.'!E26</f>
        <v>3.8482368211420233</v>
      </c>
      <c r="Y26">
        <f>$B$6*Y25+$B$7*'Станд.норм.распр.'!F26</f>
        <v>3.3110066294484484</v>
      </c>
      <c r="Z26">
        <f>$B$6*Z25+$B$7*'Станд.норм.распр.'!G26</f>
        <v>0.50614761128872321</v>
      </c>
      <c r="AA26">
        <f>$B$6*AA25+$B$7*'Станд.норм.распр.'!H26</f>
        <v>3.9597309286486486</v>
      </c>
      <c r="AB26">
        <f>$B$6*AB25+$B$7*'Станд.норм.распр.'!I26</f>
        <v>-3.1923350136579343</v>
      </c>
      <c r="AC26">
        <f>$B$6*AC25+$B$7*'Станд.норм.распр.'!J26</f>
        <v>-0.20634941753492658</v>
      </c>
      <c r="AD26">
        <f>$B$6*AD25+$B$7*'Станд.норм.распр.'!K26</f>
        <v>2.3899116213543952</v>
      </c>
    </row>
    <row r="27" spans="3:30" x14ac:dyDescent="0.3">
      <c r="C27" s="4" t="s">
        <v>35</v>
      </c>
      <c r="D27" s="4" t="s">
        <v>5</v>
      </c>
      <c r="E27" s="4">
        <v>701</v>
      </c>
      <c r="F27" s="4" t="s">
        <v>253</v>
      </c>
      <c r="G27" s="4" t="s">
        <v>5</v>
      </c>
      <c r="H27" s="2">
        <f t="shared" si="10"/>
        <v>7724.7720283101671</v>
      </c>
      <c r="I27" s="2">
        <f t="shared" si="1"/>
        <v>7722.6139717969454</v>
      </c>
      <c r="J27" s="2">
        <f t="shared" si="2"/>
        <v>7727.7200756408656</v>
      </c>
      <c r="K27" s="2">
        <f t="shared" si="3"/>
        <v>7725.5525776629302</v>
      </c>
      <c r="L27" s="2">
        <f t="shared" si="4"/>
        <v>7728.8909025937401</v>
      </c>
      <c r="M27" s="2">
        <f t="shared" si="5"/>
        <v>7725.7732968169794</v>
      </c>
      <c r="N27" s="2">
        <f t="shared" si="6"/>
        <v>7723.0302551188806</v>
      </c>
      <c r="O27" s="2">
        <f t="shared" si="7"/>
        <v>7718.8266639822932</v>
      </c>
      <c r="P27" s="2">
        <f t="shared" si="8"/>
        <v>7724.3572539169854</v>
      </c>
      <c r="Q27" s="2">
        <f t="shared" si="9"/>
        <v>7724.0568406324364</v>
      </c>
      <c r="S27">
        <v>25</v>
      </c>
      <c r="U27">
        <f>$B$6*U26+$B$7*'Станд.норм.распр.'!B27</f>
        <v>-0.22797168983297578</v>
      </c>
      <c r="V27">
        <f>$B$6*V26+$B$7*'Станд.норм.распр.'!C27</f>
        <v>-2.3860282030542588</v>
      </c>
      <c r="W27">
        <f>$B$6*W26+$B$7*'Станд.норм.распр.'!D27</f>
        <v>2.7200756408655069</v>
      </c>
      <c r="X27">
        <f>$B$6*X26+$B$7*'Станд.норм.распр.'!E27</f>
        <v>0.55257766292989152</v>
      </c>
      <c r="Y27">
        <f>$B$6*Y26+$B$7*'Станд.норм.распр.'!F27</f>
        <v>3.8909025937400612</v>
      </c>
      <c r="Z27">
        <f>$B$6*Z26+$B$7*'Станд.норм.распр.'!G27</f>
        <v>0.77329681697983599</v>
      </c>
      <c r="AA27">
        <f>$B$6*AA26+$B$7*'Станд.норм.распр.'!H27</f>
        <v>-1.9697448811196192</v>
      </c>
      <c r="AB27">
        <f>$B$6*AB26+$B$7*'Станд.норм.распр.'!I27</f>
        <v>-6.1733360177064949</v>
      </c>
      <c r="AC27">
        <f>$B$6*AC26+$B$7*'Станд.норм.распр.'!J27</f>
        <v>-0.64274608301477953</v>
      </c>
      <c r="AD27">
        <f>$B$6*AD26+$B$7*'Станд.норм.распр.'!K27</f>
        <v>-0.94315936756349839</v>
      </c>
    </row>
    <row r="28" spans="3:30" x14ac:dyDescent="0.3">
      <c r="C28" s="4" t="s">
        <v>36</v>
      </c>
      <c r="D28" s="4" t="s">
        <v>5</v>
      </c>
      <c r="E28" s="4">
        <v>219</v>
      </c>
      <c r="F28" s="4" t="s">
        <v>254</v>
      </c>
      <c r="G28" s="4" t="s">
        <v>5</v>
      </c>
      <c r="H28" s="2">
        <f t="shared" si="10"/>
        <v>2424.4790259575534</v>
      </c>
      <c r="I28" s="2">
        <f t="shared" si="1"/>
        <v>2425.2753803234718</v>
      </c>
      <c r="J28" s="2">
        <f t="shared" si="2"/>
        <v>2424.498126401003</v>
      </c>
      <c r="K28" s="2">
        <f t="shared" si="3"/>
        <v>2423.7909218609898</v>
      </c>
      <c r="L28" s="2">
        <f t="shared" si="4"/>
        <v>2426.8100154799217</v>
      </c>
      <c r="M28" s="2">
        <f t="shared" si="5"/>
        <v>2425.0109286388065</v>
      </c>
      <c r="N28" s="2">
        <f t="shared" si="6"/>
        <v>2422.23092336733</v>
      </c>
      <c r="O28" s="2">
        <f t="shared" si="7"/>
        <v>2416.6056043526892</v>
      </c>
      <c r="P28" s="2">
        <f t="shared" si="8"/>
        <v>2423.5037376049668</v>
      </c>
      <c r="Q28" s="2">
        <f t="shared" si="9"/>
        <v>2422.1858454943749</v>
      </c>
      <c r="S28">
        <v>26</v>
      </c>
      <c r="U28">
        <f>$B$6*U27+$B$7*'Станд.норм.распр.'!B28</f>
        <v>1.479025957553358</v>
      </c>
      <c r="V28">
        <f>$B$6*V27+$B$7*'Станд.норм.распр.'!C28</f>
        <v>2.2753803234720031</v>
      </c>
      <c r="W28">
        <f>$B$6*W27+$B$7*'Станд.норм.распр.'!D28</f>
        <v>1.4981264010029371</v>
      </c>
      <c r="X28">
        <f>$B$6*X27+$B$7*'Станд.норм.распр.'!E28</f>
        <v>0.79092186098964834</v>
      </c>
      <c r="Y28">
        <f>$B$6*Y27+$B$7*'Станд.норм.распр.'!F28</f>
        <v>3.8100154799217285</v>
      </c>
      <c r="Z28">
        <f>$B$6*Z27+$B$7*'Станд.норм.распр.'!G28</f>
        <v>2.0109286388067171</v>
      </c>
      <c r="AA28">
        <f>$B$6*AA27+$B$7*'Станд.норм.распр.'!H28</f>
        <v>-0.76907663267014692</v>
      </c>
      <c r="AB28">
        <f>$B$6*AB27+$B$7*'Станд.норм.распр.'!I28</f>
        <v>-6.3943956473106836</v>
      </c>
      <c r="AC28">
        <f>$B$6*AC27+$B$7*'Станд.норм.распр.'!J28</f>
        <v>0.50373760496666897</v>
      </c>
      <c r="AD28">
        <f>$B$6*AD27+$B$7*'Станд.норм.распр.'!K28</f>
        <v>-0.81415450562504921</v>
      </c>
    </row>
    <row r="29" spans="3:30" x14ac:dyDescent="0.3">
      <c r="C29" s="4" t="s">
        <v>37</v>
      </c>
      <c r="D29" s="4" t="s">
        <v>5</v>
      </c>
      <c r="E29" s="4">
        <v>666</v>
      </c>
      <c r="F29" s="4" t="s">
        <v>255</v>
      </c>
      <c r="G29" s="4" t="s">
        <v>5</v>
      </c>
      <c r="H29" s="2">
        <f t="shared" si="10"/>
        <v>7342.0109115385421</v>
      </c>
      <c r="I29" s="2">
        <f t="shared" si="1"/>
        <v>7344.20258271482</v>
      </c>
      <c r="J29" s="2">
        <f t="shared" si="2"/>
        <v>7338.3636177593235</v>
      </c>
      <c r="K29" s="2">
        <f t="shared" si="3"/>
        <v>7335.8989464097704</v>
      </c>
      <c r="L29" s="2">
        <f t="shared" si="4"/>
        <v>7344.0832589193906</v>
      </c>
      <c r="M29" s="2">
        <f t="shared" si="5"/>
        <v>7343.4009983305605</v>
      </c>
      <c r="N29" s="2">
        <f t="shared" si="6"/>
        <v>7338.0863032304696</v>
      </c>
      <c r="O29" s="2">
        <f t="shared" si="7"/>
        <v>7338.0739483513307</v>
      </c>
      <c r="P29" s="2">
        <f t="shared" si="8"/>
        <v>7338.8183778232305</v>
      </c>
      <c r="Q29" s="2">
        <f t="shared" si="9"/>
        <v>7341.0687461573343</v>
      </c>
      <c r="S29">
        <v>27</v>
      </c>
      <c r="U29">
        <f>$B$6*U28+$B$7*'Станд.норм.распр.'!B29</f>
        <v>2.0109115385423362</v>
      </c>
      <c r="V29">
        <f>$B$6*V28+$B$7*'Станд.норм.распр.'!C29</f>
        <v>4.2025827148200658</v>
      </c>
      <c r="W29">
        <f>$B$6*W28+$B$7*'Станд.норм.распр.'!D29</f>
        <v>-1.6363822406761119</v>
      </c>
      <c r="X29">
        <f>$B$6*X28+$B$7*'Станд.норм.распр.'!E29</f>
        <v>-4.1010535902294798</v>
      </c>
      <c r="Y29">
        <f>$B$6*Y28+$B$7*'Станд.норм.распр.'!F29</f>
        <v>4.0832589193907998</v>
      </c>
      <c r="Z29">
        <f>$B$6*Z28+$B$7*'Станд.норм.распр.'!G29</f>
        <v>3.4009983305603555</v>
      </c>
      <c r="AA29">
        <f>$B$6*AA28+$B$7*'Станд.норм.распр.'!H29</f>
        <v>-1.9136967695301965</v>
      </c>
      <c r="AB29">
        <f>$B$6*AB28+$B$7*'Станд.норм.распр.'!I29</f>
        <v>-1.9260516486694264</v>
      </c>
      <c r="AC29">
        <f>$B$6*AC28+$B$7*'Станд.норм.распр.'!J29</f>
        <v>-1.1816221767690487</v>
      </c>
      <c r="AD29">
        <f>$B$6*AD28+$B$7*'Станд.норм.распр.'!K29</f>
        <v>1.0687461573338795</v>
      </c>
    </row>
    <row r="30" spans="3:30" x14ac:dyDescent="0.3">
      <c r="C30" s="4" t="s">
        <v>38</v>
      </c>
      <c r="D30" s="4" t="s">
        <v>5</v>
      </c>
      <c r="E30" s="4">
        <v>92</v>
      </c>
      <c r="F30" s="4" t="s">
        <v>256</v>
      </c>
      <c r="G30" s="4" t="s">
        <v>5</v>
      </c>
      <c r="H30" s="2">
        <f t="shared" si="10"/>
        <v>1025.5241890333346</v>
      </c>
      <c r="I30" s="2">
        <f t="shared" si="1"/>
        <v>1031.5545085895733</v>
      </c>
      <c r="J30" s="2">
        <f t="shared" si="2"/>
        <v>1022.9412527656871</v>
      </c>
      <c r="K30" s="2">
        <f t="shared" si="3"/>
        <v>1024.8396104487992</v>
      </c>
      <c r="L30" s="2">
        <f t="shared" si="4"/>
        <v>1030.3279422521164</v>
      </c>
      <c r="M30" s="2">
        <f t="shared" si="5"/>
        <v>1030.1552139966816</v>
      </c>
      <c r="N30" s="2">
        <f t="shared" si="6"/>
        <v>1026.9897067456513</v>
      </c>
      <c r="O30" s="2">
        <f t="shared" si="7"/>
        <v>1030.2519122037406</v>
      </c>
      <c r="P30" s="2">
        <f t="shared" si="8"/>
        <v>1025.0626850726605</v>
      </c>
      <c r="Q30" s="2">
        <f t="shared" si="9"/>
        <v>1030.4385746273881</v>
      </c>
      <c r="S30">
        <v>28</v>
      </c>
      <c r="U30">
        <f>$B$6*U29+$B$7*'Станд.норм.распр.'!B30</f>
        <v>-0.47581096666534695</v>
      </c>
      <c r="V30">
        <f>$B$6*V29+$B$7*'Станд.норм.распр.'!C30</f>
        <v>5.5545085895733299</v>
      </c>
      <c r="W30">
        <f>$B$6*W29+$B$7*'Станд.норм.распр.'!D30</f>
        <v>-3.0587472343129458</v>
      </c>
      <c r="X30">
        <f>$B$6*X29+$B$7*'Станд.норм.распр.'!E30</f>
        <v>-1.1603895512006712</v>
      </c>
      <c r="Y30">
        <f>$B$6*Y29+$B$7*'Станд.норм.распр.'!F30</f>
        <v>4.3279422521164861</v>
      </c>
      <c r="Z30">
        <f>$B$6*Z29+$B$7*'Станд.норм.распр.'!G30</f>
        <v>4.1552139966815389</v>
      </c>
      <c r="AA30">
        <f>$B$6*AA29+$B$7*'Станд.норм.распр.'!H30</f>
        <v>0.98970674565142913</v>
      </c>
      <c r="AB30">
        <f>$B$6*AB29+$B$7*'Станд.норм.распр.'!I30</f>
        <v>4.2519122037405532</v>
      </c>
      <c r="AC30">
        <f>$B$6*AC29+$B$7*'Станд.норм.распр.'!J30</f>
        <v>-0.93731492733948341</v>
      </c>
      <c r="AD30">
        <f>$B$6*AD29+$B$7*'Станд.норм.распр.'!K30</f>
        <v>4.4385746273881157</v>
      </c>
    </row>
    <row r="31" spans="3:30" x14ac:dyDescent="0.3">
      <c r="C31" s="4" t="s">
        <v>39</v>
      </c>
      <c r="D31" s="4" t="s">
        <v>5</v>
      </c>
      <c r="E31" s="4">
        <v>250</v>
      </c>
      <c r="F31" s="4" t="s">
        <v>257</v>
      </c>
      <c r="G31" s="4" t="s">
        <v>5</v>
      </c>
      <c r="H31" s="2">
        <f t="shared" si="10"/>
        <v>2764.5993673810408</v>
      </c>
      <c r="I31" s="2">
        <f t="shared" si="1"/>
        <v>2770.827907227861</v>
      </c>
      <c r="J31" s="2">
        <f t="shared" si="2"/>
        <v>2771.2696602044039</v>
      </c>
      <c r="K31" s="2">
        <f t="shared" si="3"/>
        <v>2759.6330171679406</v>
      </c>
      <c r="L31" s="2">
        <f t="shared" si="4"/>
        <v>2761.8925725662925</v>
      </c>
      <c r="M31" s="2">
        <f t="shared" si="5"/>
        <v>2764.7823205602331</v>
      </c>
      <c r="N31" s="2">
        <f t="shared" si="6"/>
        <v>2765.3464541893572</v>
      </c>
      <c r="O31" s="2">
        <f t="shared" si="7"/>
        <v>2766.8152973792635</v>
      </c>
      <c r="P31" s="2">
        <f t="shared" si="8"/>
        <v>2765.5145821355427</v>
      </c>
      <c r="Q31" s="2">
        <f t="shared" si="9"/>
        <v>2764.6833315244717</v>
      </c>
      <c r="S31">
        <v>29</v>
      </c>
      <c r="U31">
        <f>$B$6*U30+$B$7*'Станд.норм.распр.'!B31</f>
        <v>0.59936738104084375</v>
      </c>
      <c r="V31">
        <f>$B$6*V30+$B$7*'Станд.норм.распр.'!C31</f>
        <v>6.8279072278608268</v>
      </c>
      <c r="W31">
        <f>$B$6*W30+$B$7*'Станд.норм.распр.'!D31</f>
        <v>7.2696602044039693</v>
      </c>
      <c r="X31">
        <f>$B$6*X30+$B$7*'Станд.норм.распр.'!E31</f>
        <v>-4.3669828320593806</v>
      </c>
      <c r="Y31">
        <f>$B$6*Y30+$B$7*'Станд.норм.распр.'!F31</f>
        <v>-2.1074274337073966</v>
      </c>
      <c r="Z31">
        <f>$B$6*Z30+$B$7*'Станд.норм.распр.'!G31</f>
        <v>0.78232056023304608</v>
      </c>
      <c r="AA31">
        <f>$B$6*AA30+$B$7*'Станд.норм.распр.'!H31</f>
        <v>1.346454189357287</v>
      </c>
      <c r="AB31">
        <f>$B$6*AB30+$B$7*'Станд.норм.распр.'!I31</f>
        <v>2.8152973792636726</v>
      </c>
      <c r="AC31">
        <f>$B$6*AC30+$B$7*'Станд.норм.распр.'!J31</f>
        <v>1.5145821355427969</v>
      </c>
      <c r="AD31">
        <f>$B$6*AD30+$B$7*'Станд.норм.распр.'!K31</f>
        <v>0.68333152447155943</v>
      </c>
    </row>
    <row r="32" spans="3:30" x14ac:dyDescent="0.3">
      <c r="C32" s="4" t="s">
        <v>40</v>
      </c>
      <c r="D32" s="4" t="s">
        <v>5</v>
      </c>
      <c r="E32" s="4">
        <v>252</v>
      </c>
      <c r="F32" s="4" t="s">
        <v>258</v>
      </c>
      <c r="G32" s="4" t="s">
        <v>5</v>
      </c>
      <c r="H32" s="2">
        <f t="shared" si="10"/>
        <v>2793.1945084549789</v>
      </c>
      <c r="I32" s="2">
        <f t="shared" si="1"/>
        <v>2785.779537752333</v>
      </c>
      <c r="J32" s="2">
        <f t="shared" si="2"/>
        <v>2788.9720881342305</v>
      </c>
      <c r="K32" s="2">
        <f t="shared" si="3"/>
        <v>2787.8551971142429</v>
      </c>
      <c r="L32" s="2">
        <f t="shared" si="4"/>
        <v>2785.8194114286639</v>
      </c>
      <c r="M32" s="2">
        <f t="shared" si="5"/>
        <v>2787.2628495608733</v>
      </c>
      <c r="N32" s="2">
        <f t="shared" si="6"/>
        <v>2786.8839615645529</v>
      </c>
      <c r="O32" s="2">
        <f t="shared" si="7"/>
        <v>2784.4371480441714</v>
      </c>
      <c r="P32" s="2">
        <f t="shared" si="8"/>
        <v>2789.1518769307017</v>
      </c>
      <c r="Q32" s="2">
        <f t="shared" si="9"/>
        <v>2782.0510017248371</v>
      </c>
      <c r="S32">
        <v>30</v>
      </c>
      <c r="U32">
        <f>$B$6*U31+$B$7*'Станд.норм.распр.'!B32</f>
        <v>7.1945084549788847</v>
      </c>
      <c r="V32">
        <f>$B$6*V31+$B$7*'Станд.норм.распр.'!C32</f>
        <v>-0.22046224766710409</v>
      </c>
      <c r="W32">
        <f>$B$6*W31+$B$7*'Станд.норм.распр.'!D32</f>
        <v>2.9720881342303151</v>
      </c>
      <c r="X32">
        <f>$B$6*X31+$B$7*'Станд.норм.распр.'!E32</f>
        <v>1.8551971142426482</v>
      </c>
      <c r="Y32">
        <f>$B$6*Y31+$B$7*'Станд.норм.распр.'!F32</f>
        <v>-0.18058857133629225</v>
      </c>
      <c r="Z32">
        <f>$B$6*Z31+$B$7*'Станд.норм.распр.'!G32</f>
        <v>1.2628495608735051</v>
      </c>
      <c r="AA32">
        <f>$B$6*AA31+$B$7*'Станд.норм.распр.'!H32</f>
        <v>0.88396156455293984</v>
      </c>
      <c r="AB32">
        <f>$B$6*AB31+$B$7*'Станд.норм.распр.'!I32</f>
        <v>-1.5628519558287246</v>
      </c>
      <c r="AC32">
        <f>$B$6*AC31+$B$7*'Станд.норм.распр.'!J32</f>
        <v>3.1518769307017971</v>
      </c>
      <c r="AD32">
        <f>$B$6*AD31+$B$7*'Станд.норм.распр.'!K32</f>
        <v>-3.9489982751627486</v>
      </c>
    </row>
    <row r="33" spans="3:30" x14ac:dyDescent="0.3">
      <c r="C33" s="4" t="s">
        <v>41</v>
      </c>
      <c r="D33" s="4" t="s">
        <v>5</v>
      </c>
      <c r="E33" s="4">
        <v>110</v>
      </c>
      <c r="F33" s="4" t="s">
        <v>259</v>
      </c>
      <c r="G33" s="4" t="s">
        <v>5</v>
      </c>
      <c r="H33" s="2">
        <f t="shared" si="10"/>
        <v>1227.898281057619</v>
      </c>
      <c r="I33" s="2">
        <f t="shared" si="1"/>
        <v>1218.8203818326895</v>
      </c>
      <c r="J33" s="2">
        <f t="shared" si="2"/>
        <v>1232.2521935211669</v>
      </c>
      <c r="K33" s="2">
        <f t="shared" si="3"/>
        <v>1221.9352836812388</v>
      </c>
      <c r="L33" s="2">
        <f t="shared" si="4"/>
        <v>1221.6224720585253</v>
      </c>
      <c r="M33" s="2">
        <f t="shared" si="5"/>
        <v>1227.8778911295194</v>
      </c>
      <c r="N33" s="2">
        <f t="shared" si="6"/>
        <v>1224.4641292520014</v>
      </c>
      <c r="O33" s="2">
        <f t="shared" si="7"/>
        <v>1223.2698695232657</v>
      </c>
      <c r="P33" s="2">
        <f t="shared" si="8"/>
        <v>1224.1624813806418</v>
      </c>
      <c r="Q33" s="2">
        <f t="shared" si="9"/>
        <v>1213.9023671234277</v>
      </c>
      <c r="S33">
        <v>31</v>
      </c>
      <c r="U33">
        <f>$B$6*U32+$B$7*'Станд.норм.распр.'!B33</f>
        <v>3.8982810576190006</v>
      </c>
      <c r="V33">
        <f>$B$6*V32+$B$7*'Станд.норм.распр.'!C33</f>
        <v>-5.1796181673105881</v>
      </c>
      <c r="W33">
        <f>$B$6*W32+$B$7*'Станд.норм.распр.'!D33</f>
        <v>8.2521935211667863</v>
      </c>
      <c r="X33">
        <f>$B$6*X32+$B$7*'Станд.норм.распр.'!E33</f>
        <v>-2.0647163187612607</v>
      </c>
      <c r="Y33">
        <f>$B$6*Y32+$B$7*'Станд.норм.распр.'!F33</f>
        <v>-2.377527941474777</v>
      </c>
      <c r="Z33">
        <f>$B$6*Z32+$B$7*'Станд.норм.распр.'!G33</f>
        <v>3.8778911295195186</v>
      </c>
      <c r="AA33">
        <f>$B$6*AA32+$B$7*'Станд.норм.распр.'!H33</f>
        <v>0.46412925200139515</v>
      </c>
      <c r="AB33">
        <f>$B$6*AB32+$B$7*'Станд.норм.распр.'!I33</f>
        <v>-0.73013047673436915</v>
      </c>
      <c r="AC33">
        <f>$B$6*AC32+$B$7*'Станд.норм.распр.'!J33</f>
        <v>0.16248138064181861</v>
      </c>
      <c r="AD33">
        <f>$B$6*AD32+$B$7*'Станд.норм.распр.'!K33</f>
        <v>-10.097632876572247</v>
      </c>
    </row>
    <row r="34" spans="3:30" x14ac:dyDescent="0.3">
      <c r="C34" s="4" t="s">
        <v>42</v>
      </c>
      <c r="D34" s="4" t="s">
        <v>5</v>
      </c>
      <c r="E34" s="4">
        <v>185</v>
      </c>
      <c r="F34" s="4" t="s">
        <v>260</v>
      </c>
      <c r="G34" s="4" t="s">
        <v>5</v>
      </c>
      <c r="H34" s="2">
        <f t="shared" si="10"/>
        <v>2053.1124805426039</v>
      </c>
      <c r="I34" s="2">
        <f t="shared" si="1"/>
        <v>2048.2700211794736</v>
      </c>
      <c r="J34" s="2">
        <f t="shared" si="2"/>
        <v>2051.6774081248645</v>
      </c>
      <c r="K34" s="2">
        <f t="shared" si="3"/>
        <v>2047.8136973567921</v>
      </c>
      <c r="L34" s="2">
        <f t="shared" si="4"/>
        <v>2048.8436807722946</v>
      </c>
      <c r="M34" s="2">
        <f t="shared" si="5"/>
        <v>2057.1122227075666</v>
      </c>
      <c r="N34" s="2">
        <f t="shared" si="6"/>
        <v>2038.9502634022458</v>
      </c>
      <c r="O34" s="2">
        <f t="shared" si="7"/>
        <v>2048.157293155366</v>
      </c>
      <c r="P34" s="2">
        <f t="shared" si="8"/>
        <v>2043.5124864858885</v>
      </c>
      <c r="Q34" s="2">
        <f t="shared" si="9"/>
        <v>2043.8810683414174</v>
      </c>
      <c r="S34">
        <v>32</v>
      </c>
      <c r="U34">
        <f>$B$6*U33+$B$7*'Станд.норм.распр.'!B34</f>
        <v>4.1124805426038682</v>
      </c>
      <c r="V34">
        <f>$B$6*V33+$B$7*'Станд.норм.распр.'!C34</f>
        <v>-0.72997882052632423</v>
      </c>
      <c r="W34">
        <f>$B$6*W33+$B$7*'Станд.норм.распр.'!D34</f>
        <v>2.6774081248643844</v>
      </c>
      <c r="X34">
        <f>$B$6*X33+$B$7*'Станд.норм.распр.'!E34</f>
        <v>-1.1863026432078478</v>
      </c>
      <c r="Y34">
        <f>$B$6*Y33+$B$7*'Станд.норм.распр.'!F34</f>
        <v>-0.15631922770528694</v>
      </c>
      <c r="Z34">
        <f>$B$6*Z33+$B$7*'Станд.норм.распр.'!G34</f>
        <v>8.1122227075666693</v>
      </c>
      <c r="AA34">
        <f>$B$6*AA33+$B$7*'Станд.норм.распр.'!H34</f>
        <v>-10.049736597754185</v>
      </c>
      <c r="AB34">
        <f>$B$6*AB33+$B$7*'Станд.норм.распр.'!I34</f>
        <v>-0.84270684463402779</v>
      </c>
      <c r="AC34">
        <f>$B$6*AC33+$B$7*'Станд.норм.распр.'!J34</f>
        <v>-5.487513514111571</v>
      </c>
      <c r="AD34">
        <f>$B$6*AD33+$B$7*'Станд.норм.распр.'!K34</f>
        <v>-5.1189316585825528</v>
      </c>
    </row>
    <row r="35" spans="3:30" x14ac:dyDescent="0.3">
      <c r="C35" s="4" t="s">
        <v>43</v>
      </c>
      <c r="D35" s="4" t="s">
        <v>5</v>
      </c>
      <c r="E35" s="4">
        <v>281</v>
      </c>
      <c r="F35" s="4" t="s">
        <v>261</v>
      </c>
      <c r="G35" s="4" t="s">
        <v>5</v>
      </c>
      <c r="H35" s="2">
        <f t="shared" si="10"/>
        <v>3103.6996045552569</v>
      </c>
      <c r="I35" s="2">
        <f t="shared" si="1"/>
        <v>3104.1194464650112</v>
      </c>
      <c r="J35" s="2">
        <f t="shared" si="2"/>
        <v>3103.2888522779785</v>
      </c>
      <c r="K35" s="2">
        <f t="shared" si="3"/>
        <v>3105.0844131362701</v>
      </c>
      <c r="L35" s="2">
        <f t="shared" si="4"/>
        <v>3104.7633018172078</v>
      </c>
      <c r="M35" s="2">
        <f t="shared" si="5"/>
        <v>3106.090849397805</v>
      </c>
      <c r="N35" s="2">
        <f t="shared" si="6"/>
        <v>3105.2962214033155</v>
      </c>
      <c r="O35" s="2">
        <f t="shared" si="7"/>
        <v>3107.5193180706619</v>
      </c>
      <c r="P35" s="2">
        <f t="shared" si="8"/>
        <v>3103.355419885982</v>
      </c>
      <c r="Q35" s="2">
        <f t="shared" si="9"/>
        <v>3104.2875883070146</v>
      </c>
      <c r="S35">
        <v>33</v>
      </c>
      <c r="U35">
        <f>$B$6*U34+$B$7*'Станд.норм.распр.'!B35</f>
        <v>-1.3003954447433412</v>
      </c>
      <c r="V35">
        <f>$B$6*V34+$B$7*'Станд.норм.распр.'!C35</f>
        <v>-0.88055353498880473</v>
      </c>
      <c r="W35">
        <f>$B$6*W34+$B$7*'Станд.норм.распр.'!D35</f>
        <v>-1.7111477220213023</v>
      </c>
      <c r="X35">
        <f>$B$6*X34+$B$7*'Станд.норм.распр.'!E35</f>
        <v>8.4413136269889888E-2</v>
      </c>
      <c r="Y35">
        <f>$B$6*Y34+$B$7*'Станд.норм.распр.'!F35</f>
        <v>-0.23669818279219146</v>
      </c>
      <c r="Z35">
        <f>$B$6*Z34+$B$7*'Станд.норм.распр.'!G35</f>
        <v>1.0908493978049858</v>
      </c>
      <c r="AA35">
        <f>$B$6*AA34+$B$7*'Станд.норм.распр.'!H35</f>
        <v>0.29622140331560143</v>
      </c>
      <c r="AB35">
        <f>$B$6*AB34+$B$7*'Станд.норм.распр.'!I35</f>
        <v>2.5193180706621492</v>
      </c>
      <c r="AC35">
        <f>$B$6*AC34+$B$7*'Станд.норм.распр.'!J35</f>
        <v>-1.6445801140178498</v>
      </c>
      <c r="AD35">
        <f>$B$6*AD34+$B$7*'Станд.норм.распр.'!K35</f>
        <v>-0.71241169298546181</v>
      </c>
    </row>
    <row r="36" spans="3:30" x14ac:dyDescent="0.3">
      <c r="C36" s="4" t="s">
        <v>44</v>
      </c>
      <c r="D36" s="4" t="s">
        <v>5</v>
      </c>
      <c r="E36" s="4">
        <v>315</v>
      </c>
      <c r="F36" s="4" t="s">
        <v>262</v>
      </c>
      <c r="G36" s="4" t="s">
        <v>5</v>
      </c>
      <c r="H36" s="2">
        <f t="shared" si="10"/>
        <v>3477.5418367431512</v>
      </c>
      <c r="I36" s="2">
        <f t="shared" si="1"/>
        <v>3482.602968331234</v>
      </c>
      <c r="J36" s="2">
        <f t="shared" si="2"/>
        <v>3480.0759916598522</v>
      </c>
      <c r="K36" s="2">
        <f t="shared" si="3"/>
        <v>3481.0383177911144</v>
      </c>
      <c r="L36" s="2">
        <f t="shared" si="4"/>
        <v>3481.8193551751187</v>
      </c>
      <c r="M36" s="2">
        <f t="shared" si="5"/>
        <v>3476.4529403503034</v>
      </c>
      <c r="N36" s="2">
        <f t="shared" si="6"/>
        <v>3474.3583114244529</v>
      </c>
      <c r="O36" s="2">
        <f t="shared" si="7"/>
        <v>3478.6409585550095</v>
      </c>
      <c r="P36" s="2">
        <f t="shared" si="8"/>
        <v>3473.2605177429086</v>
      </c>
      <c r="Q36" s="2">
        <f t="shared" si="9"/>
        <v>3482.1982313247677</v>
      </c>
      <c r="S36">
        <v>34</v>
      </c>
      <c r="U36">
        <f>$B$6*U35+$B$7*'Станд.норм.распр.'!B36</f>
        <v>-1.4581632568489324</v>
      </c>
      <c r="V36">
        <f>$B$6*V35+$B$7*'Станд.норм.распр.'!C36</f>
        <v>3.6029683312338188</v>
      </c>
      <c r="W36">
        <f>$B$6*W35+$B$7*'Станд.норм.распр.'!D36</f>
        <v>1.0759916598522812</v>
      </c>
      <c r="X36">
        <f>$B$6*X35+$B$7*'Станд.норм.распр.'!E36</f>
        <v>2.0383177911143249</v>
      </c>
      <c r="Y36">
        <f>$B$6*Y35+$B$7*'Станд.норм.распр.'!F36</f>
        <v>2.8193551751185333</v>
      </c>
      <c r="Z36">
        <f>$B$6*Z35+$B$7*'Станд.норм.распр.'!G36</f>
        <v>-2.5470596496966076</v>
      </c>
      <c r="AA36">
        <f>$B$6*AA35+$B$7*'Станд.норм.распр.'!H36</f>
        <v>-4.641688575547219</v>
      </c>
      <c r="AB36">
        <f>$B$6*AB35+$B$7*'Станд.норм.распр.'!I36</f>
        <v>-0.35904144499034762</v>
      </c>
      <c r="AC36">
        <f>$B$6*AC35+$B$7*'Станд.норм.распр.'!J36</f>
        <v>-5.7394822570912787</v>
      </c>
      <c r="AD36">
        <f>$B$6*AD35+$B$7*'Станд.норм.распр.'!K36</f>
        <v>3.1982313247676295</v>
      </c>
    </row>
    <row r="37" spans="3:30" x14ac:dyDescent="0.3">
      <c r="C37" s="4" t="s">
        <v>45</v>
      </c>
      <c r="D37" s="4" t="s">
        <v>5</v>
      </c>
      <c r="E37" s="4">
        <v>883</v>
      </c>
      <c r="F37" s="4" t="s">
        <v>263</v>
      </c>
      <c r="G37" s="4" t="s">
        <v>5</v>
      </c>
      <c r="H37" s="2">
        <f t="shared" si="10"/>
        <v>9726.7202246704092</v>
      </c>
      <c r="I37" s="2">
        <f t="shared" si="1"/>
        <v>9730.1156926409949</v>
      </c>
      <c r="J37" s="2">
        <f t="shared" si="2"/>
        <v>9727.3017159276151</v>
      </c>
      <c r="K37" s="2">
        <f t="shared" si="3"/>
        <v>9725.6656912880935</v>
      </c>
      <c r="L37" s="2">
        <f t="shared" si="4"/>
        <v>9725.9715996879895</v>
      </c>
      <c r="M37" s="2">
        <f t="shared" si="5"/>
        <v>9726.5893055249871</v>
      </c>
      <c r="N37" s="2">
        <f t="shared" si="6"/>
        <v>9723.3004799786504</v>
      </c>
      <c r="O37" s="2">
        <f t="shared" si="7"/>
        <v>9729.0305172967619</v>
      </c>
      <c r="P37" s="2">
        <f t="shared" si="8"/>
        <v>9720.7259906441413</v>
      </c>
      <c r="Q37" s="2">
        <f t="shared" si="9"/>
        <v>9727.6777509178846</v>
      </c>
      <c r="S37">
        <v>35</v>
      </c>
      <c r="U37">
        <f>$B$6*U36+$B$7*'Станд.норм.распр.'!B37</f>
        <v>-0.27977532959135865</v>
      </c>
      <c r="V37">
        <f>$B$6*V36+$B$7*'Станд.норм.распр.'!C37</f>
        <v>3.1156926409950185</v>
      </c>
      <c r="W37">
        <f>$B$6*W36+$B$7*'Станд.норм.распр.'!D37</f>
        <v>0.30171592761579713</v>
      </c>
      <c r="X37">
        <f>$B$6*X36+$B$7*'Станд.норм.распр.'!E37</f>
        <v>-1.3343087119060819</v>
      </c>
      <c r="Y37">
        <f>$B$6*Y36+$B$7*'Станд.норм.распр.'!F37</f>
        <v>-1.0284003120099132</v>
      </c>
      <c r="Z37">
        <f>$B$6*Z36+$B$7*'Станд.норм.распр.'!G37</f>
        <v>-0.41069447501308121</v>
      </c>
      <c r="AA37">
        <f>$B$6*AA36+$B$7*'Станд.норм.распр.'!H37</f>
        <v>-3.6995200213501382</v>
      </c>
      <c r="AB37">
        <f>$B$6*AB36+$B$7*'Станд.норм.распр.'!I37</f>
        <v>2.0305172967617251</v>
      </c>
      <c r="AC37">
        <f>$B$6*AC36+$B$7*'Станд.норм.распр.'!J37</f>
        <v>-6.2740093558595174</v>
      </c>
      <c r="AD37">
        <f>$B$6*AD36+$B$7*'Станд.норм.распр.'!K37</f>
        <v>0.67775091788437258</v>
      </c>
    </row>
    <row r="38" spans="3:30" x14ac:dyDescent="0.3">
      <c r="C38" s="4" t="s">
        <v>46</v>
      </c>
      <c r="D38" s="4" t="s">
        <v>5</v>
      </c>
      <c r="E38" s="4">
        <v>75</v>
      </c>
      <c r="F38" s="4" t="s">
        <v>264</v>
      </c>
      <c r="G38" s="4" t="s">
        <v>5</v>
      </c>
      <c r="H38" s="2">
        <f t="shared" si="10"/>
        <v>839.44943761711215</v>
      </c>
      <c r="I38" s="2">
        <f t="shared" si="1"/>
        <v>840.69685576445329</v>
      </c>
      <c r="J38" s="2">
        <f t="shared" si="2"/>
        <v>843.40169977568928</v>
      </c>
      <c r="K38" s="2">
        <f t="shared" si="3"/>
        <v>836.48912025834966</v>
      </c>
      <c r="L38" s="2">
        <f t="shared" si="4"/>
        <v>842.62559235279002</v>
      </c>
      <c r="M38" s="2">
        <f t="shared" si="5"/>
        <v>837.51999025361681</v>
      </c>
      <c r="N38" s="2">
        <f t="shared" si="6"/>
        <v>841.60970169589905</v>
      </c>
      <c r="O38" s="2">
        <f t="shared" si="7"/>
        <v>842.90515305216002</v>
      </c>
      <c r="P38" s="2">
        <f t="shared" si="8"/>
        <v>835.24790973960307</v>
      </c>
      <c r="Q38" s="2">
        <f t="shared" si="9"/>
        <v>842.29591785655327</v>
      </c>
      <c r="S38">
        <v>36</v>
      </c>
      <c r="U38">
        <f>$B$6*U37+$B$7*'Станд.норм.распр.'!B38</f>
        <v>0.44943761711212499</v>
      </c>
      <c r="V38">
        <f>$B$6*V37+$B$7*'Станд.норм.распр.'!C38</f>
        <v>1.696855764453238</v>
      </c>
      <c r="W38">
        <f>$B$6*W37+$B$7*'Станд.норм.распр.'!D38</f>
        <v>4.4016997756892993</v>
      </c>
      <c r="X38">
        <f>$B$6*X37+$B$7*'Станд.норм.распр.'!E38</f>
        <v>-2.5108797416503665</v>
      </c>
      <c r="Y38">
        <f>$B$6*Y37+$B$7*'Станд.норм.распр.'!F38</f>
        <v>3.6255923527899694</v>
      </c>
      <c r="Z38">
        <f>$B$6*Z37+$B$7*'Станд.норм.распр.'!G38</f>
        <v>-1.4800097463831856</v>
      </c>
      <c r="AA38">
        <f>$B$6*AA37+$B$7*'Станд.норм.распр.'!H38</f>
        <v>2.6097016958990058</v>
      </c>
      <c r="AB38">
        <f>$B$6*AB37+$B$7*'Станд.норм.распр.'!I38</f>
        <v>3.9051530521600433</v>
      </c>
      <c r="AC38">
        <f>$B$6*AC37+$B$7*'Станд.норм.распр.'!J38</f>
        <v>-3.752090260396904</v>
      </c>
      <c r="AD38">
        <f>$B$6*AD37+$B$7*'Станд.норм.распр.'!K38</f>
        <v>3.2959178565532623</v>
      </c>
    </row>
    <row r="39" spans="3:30" x14ac:dyDescent="0.3">
      <c r="C39" s="4" t="s">
        <v>47</v>
      </c>
      <c r="D39" s="4" t="s">
        <v>5</v>
      </c>
      <c r="E39" s="4">
        <v>763</v>
      </c>
      <c r="F39" s="4" t="s">
        <v>265</v>
      </c>
      <c r="G39" s="4" t="s">
        <v>5</v>
      </c>
      <c r="H39" s="2">
        <f t="shared" si="10"/>
        <v>8406.1417220762632</v>
      </c>
      <c r="I39" s="2">
        <f t="shared" si="1"/>
        <v>8413.1850699438201</v>
      </c>
      <c r="J39" s="2">
        <f t="shared" si="2"/>
        <v>8412.5403780085489</v>
      </c>
      <c r="K39" s="2">
        <f t="shared" si="3"/>
        <v>8404.6816245762657</v>
      </c>
      <c r="L39" s="2">
        <f t="shared" si="4"/>
        <v>8407.6853456168155</v>
      </c>
      <c r="M39" s="2">
        <f t="shared" si="5"/>
        <v>8403.0122941386671</v>
      </c>
      <c r="N39" s="2">
        <f t="shared" si="6"/>
        <v>8405.8683691115821</v>
      </c>
      <c r="O39" s="2">
        <f t="shared" si="7"/>
        <v>8409.5526690883889</v>
      </c>
      <c r="P39" s="2">
        <f t="shared" si="8"/>
        <v>8402.6107140543409</v>
      </c>
      <c r="Q39" s="2">
        <f t="shared" si="9"/>
        <v>8410.2515504278654</v>
      </c>
      <c r="S39">
        <v>37</v>
      </c>
      <c r="U39">
        <f>$B$6*U38+$B$7*'Станд.норм.распр.'!B39</f>
        <v>-0.8582779237373328</v>
      </c>
      <c r="V39">
        <f>$B$6*V38+$B$7*'Станд.норм.распр.'!C39</f>
        <v>6.1850699438196299</v>
      </c>
      <c r="W39">
        <f>$B$6*W38+$B$7*'Станд.норм.распр.'!D39</f>
        <v>5.5403780085495757</v>
      </c>
      <c r="X39">
        <f>$B$6*X38+$B$7*'Станд.норм.распр.'!E39</f>
        <v>-2.3183754237342225</v>
      </c>
      <c r="Y39">
        <f>$B$6*Y38+$B$7*'Станд.норм.распр.'!F39</f>
        <v>0.68534561681568307</v>
      </c>
      <c r="Z39">
        <f>$B$6*Z38+$B$7*'Станд.норм.распр.'!G39</f>
        <v>-3.9877058613320155</v>
      </c>
      <c r="AA39">
        <f>$B$6*AA38+$B$7*'Станд.норм.распр.'!H39</f>
        <v>-1.1316308884180655</v>
      </c>
      <c r="AB39">
        <f>$B$6*AB38+$B$7*'Станд.норм.распр.'!I39</f>
        <v>2.5526690883884404</v>
      </c>
      <c r="AC39">
        <f>$B$6*AC38+$B$7*'Станд.норм.распр.'!J39</f>
        <v>-4.3892859456589015</v>
      </c>
      <c r="AD39">
        <f>$B$6*AD38+$B$7*'Станд.норм.распр.'!K39</f>
        <v>3.2515504278648506</v>
      </c>
    </row>
    <row r="40" spans="3:30" x14ac:dyDescent="0.3">
      <c r="C40" s="4" t="s">
        <v>48</v>
      </c>
      <c r="D40" s="4" t="s">
        <v>5</v>
      </c>
      <c r="E40" s="4">
        <v>438</v>
      </c>
      <c r="F40" s="4" t="s">
        <v>266</v>
      </c>
      <c r="G40" s="4" t="s">
        <v>5</v>
      </c>
      <c r="H40" s="2">
        <f t="shared" si="10"/>
        <v>4834.8095102802527</v>
      </c>
      <c r="I40" s="2">
        <f t="shared" si="1"/>
        <v>4830.6261292732879</v>
      </c>
      <c r="J40" s="2">
        <f t="shared" si="2"/>
        <v>4839.8841321931914</v>
      </c>
      <c r="K40" s="2">
        <f t="shared" si="3"/>
        <v>4835.2388694599167</v>
      </c>
      <c r="L40" s="2">
        <f t="shared" si="4"/>
        <v>4834.4586599805543</v>
      </c>
      <c r="M40" s="2">
        <f t="shared" si="5"/>
        <v>4829.487087074348</v>
      </c>
      <c r="N40" s="2">
        <f t="shared" si="6"/>
        <v>4831.8721198971152</v>
      </c>
      <c r="O40" s="2">
        <f t="shared" si="7"/>
        <v>4836.2948019402265</v>
      </c>
      <c r="P40" s="2">
        <f t="shared" si="8"/>
        <v>4831.5554476595835</v>
      </c>
      <c r="Q40" s="2">
        <f t="shared" si="9"/>
        <v>4834.4147163929856</v>
      </c>
      <c r="S40">
        <v>38</v>
      </c>
      <c r="U40">
        <f>$B$6*U39+$B$7*'Станд.норм.распр.'!B40</f>
        <v>2.8095102802523613</v>
      </c>
      <c r="V40">
        <f>$B$6*V39+$B$7*'Станд.норм.распр.'!C40</f>
        <v>-1.3738707267122963</v>
      </c>
      <c r="W40">
        <f>$B$6*W39+$B$7*'Станд.норм.распр.'!D40</f>
        <v>7.8841321931916797</v>
      </c>
      <c r="X40">
        <f>$B$6*X39+$B$7*'Станд.норм.распр.'!E40</f>
        <v>3.2388694599167644</v>
      </c>
      <c r="Y40">
        <f>$B$6*Y39+$B$7*'Станд.норм.распр.'!F40</f>
        <v>2.458659980554402</v>
      </c>
      <c r="Z40">
        <f>$B$6*Z39+$B$7*'Станд.норм.распр.'!G40</f>
        <v>-2.5129129256515901</v>
      </c>
      <c r="AA40">
        <f>$B$6*AA39+$B$7*'Станд.норм.распр.'!H40</f>
        <v>-0.1278801028848412</v>
      </c>
      <c r="AB40">
        <f>$B$6*AB39+$B$7*'Станд.норм.распр.'!I40</f>
        <v>4.2948019402262858</v>
      </c>
      <c r="AC40">
        <f>$B$6*AC39+$B$7*'Станд.норм.распр.'!J40</f>
        <v>-0.44455234041640246</v>
      </c>
      <c r="AD40">
        <f>$B$6*AD39+$B$7*'Станд.норм.распр.'!K40</f>
        <v>2.4147163929853521</v>
      </c>
    </row>
    <row r="41" spans="3:30" x14ac:dyDescent="0.3">
      <c r="C41" s="4" t="s">
        <v>49</v>
      </c>
      <c r="D41" s="4" t="s">
        <v>5</v>
      </c>
      <c r="E41" s="4">
        <v>752</v>
      </c>
      <c r="F41" s="4" t="s">
        <v>267</v>
      </c>
      <c r="G41" s="4" t="s">
        <v>5</v>
      </c>
      <c r="H41" s="2">
        <f t="shared" si="10"/>
        <v>8285.5240178675394</v>
      </c>
      <c r="I41" s="2">
        <f t="shared" si="1"/>
        <v>8286.9134774522499</v>
      </c>
      <c r="J41" s="2">
        <f t="shared" si="2"/>
        <v>8293.7349727786604</v>
      </c>
      <c r="K41" s="2">
        <f t="shared" si="3"/>
        <v>8286.9017854299727</v>
      </c>
      <c r="L41" s="2">
        <f t="shared" si="4"/>
        <v>8288.6415046874572</v>
      </c>
      <c r="M41" s="2">
        <f t="shared" si="5"/>
        <v>8280.7922892800561</v>
      </c>
      <c r="N41" s="2">
        <f t="shared" si="6"/>
        <v>8278.0247657155032</v>
      </c>
      <c r="O41" s="2">
        <f t="shared" si="7"/>
        <v>8284.3468272477112</v>
      </c>
      <c r="P41" s="2">
        <f t="shared" si="8"/>
        <v>8286.3982015789716</v>
      </c>
      <c r="Q41" s="2">
        <f t="shared" si="9"/>
        <v>8285.1917314909497</v>
      </c>
      <c r="S41">
        <v>39</v>
      </c>
      <c r="U41">
        <f>$B$6*U40+$B$7*'Станд.норм.распр.'!B41</f>
        <v>-0.47598213245979437</v>
      </c>
      <c r="V41">
        <f>$B$6*V40+$B$7*'Станд.норм.распр.'!C41</f>
        <v>0.91347745224937493</v>
      </c>
      <c r="W41">
        <f>$B$6*W40+$B$7*'Станд.норм.распр.'!D41</f>
        <v>7.7349727786610618</v>
      </c>
      <c r="X41">
        <f>$B$6*X40+$B$7*'Станд.норм.распр.'!E41</f>
        <v>0.90178542997230382</v>
      </c>
      <c r="Y41">
        <f>$B$6*Y40+$B$7*'Станд.норм.распр.'!F41</f>
        <v>2.6415046874567811</v>
      </c>
      <c r="Z41">
        <f>$B$6*Z40+$B$7*'Станд.норм.распр.'!G41</f>
        <v>-5.2077107199431936</v>
      </c>
      <c r="AA41">
        <f>$B$6*AA40+$B$7*'Станд.норм.распр.'!H41</f>
        <v>-7.9752342844963433</v>
      </c>
      <c r="AB41">
        <f>$B$6*AB40+$B$7*'Станд.норм.распр.'!I41</f>
        <v>-1.6531727522880253</v>
      </c>
      <c r="AC41">
        <f>$B$6*AC40+$B$7*'Станд.норм.распр.'!J41</f>
        <v>0.39820157897208031</v>
      </c>
      <c r="AD41">
        <f>$B$6*AD40+$B$7*'Станд.норм.распр.'!K41</f>
        <v>-0.80826850904999636</v>
      </c>
    </row>
    <row r="42" spans="3:30" x14ac:dyDescent="0.3">
      <c r="C42" s="4" t="s">
        <v>50</v>
      </c>
      <c r="D42" s="4" t="s">
        <v>5</v>
      </c>
      <c r="E42" s="4">
        <v>607</v>
      </c>
      <c r="F42" s="4" t="s">
        <v>268</v>
      </c>
      <c r="G42" s="4" t="s">
        <v>5</v>
      </c>
      <c r="H42" s="2">
        <f t="shared" si="10"/>
        <v>6690.7795667289874</v>
      </c>
      <c r="I42" s="2">
        <f t="shared" si="1"/>
        <v>6692.5738551521554</v>
      </c>
      <c r="J42" s="2">
        <f t="shared" si="2"/>
        <v>6687.3857646938177</v>
      </c>
      <c r="K42" s="2">
        <f t="shared" si="3"/>
        <v>6694.1440497723515</v>
      </c>
      <c r="L42" s="2">
        <f t="shared" si="4"/>
        <v>6688.7044331529596</v>
      </c>
      <c r="M42" s="2">
        <f t="shared" si="5"/>
        <v>6683.2233207641184</v>
      </c>
      <c r="N42" s="2">
        <f t="shared" si="6"/>
        <v>6687.542861558718</v>
      </c>
      <c r="O42" s="2">
        <f t="shared" si="7"/>
        <v>6696.3466907666625</v>
      </c>
      <c r="P42" s="2">
        <f t="shared" si="8"/>
        <v>6688.5489309991999</v>
      </c>
      <c r="Q42" s="2">
        <f t="shared" si="9"/>
        <v>6688.553991022839</v>
      </c>
      <c r="S42">
        <v>40</v>
      </c>
      <c r="U42">
        <f>$B$6*U41+$B$7*'Станд.норм.распр.'!B42</f>
        <v>-0.22043327101217081</v>
      </c>
      <c r="V42">
        <f>$B$6*V41+$B$7*'Станд.норм.распр.'!C42</f>
        <v>1.5738551521550943</v>
      </c>
      <c r="W42">
        <f>$B$6*W41+$B$7*'Станд.норм.распр.'!D42</f>
        <v>-3.6142353061820023</v>
      </c>
      <c r="X42">
        <f>$B$6*X41+$B$7*'Станд.норм.распр.'!E42</f>
        <v>3.1440497723513214</v>
      </c>
      <c r="Y42">
        <f>$B$6*Y41+$B$7*'Станд.норм.распр.'!F42</f>
        <v>-2.2955668470406003</v>
      </c>
      <c r="Z42">
        <f>$B$6*Z41+$B$7*'Станд.норм.распр.'!G42</f>
        <v>-7.776679235881268</v>
      </c>
      <c r="AA42">
        <f>$B$6*AA41+$B$7*'Станд.норм.распр.'!H42</f>
        <v>-3.4571384412818302</v>
      </c>
      <c r="AB42">
        <f>$B$6*AB41+$B$7*'Станд.норм.распр.'!I42</f>
        <v>5.3466907666628973</v>
      </c>
      <c r="AC42">
        <f>$B$6*AC41+$B$7*'Станд.норм.распр.'!J42</f>
        <v>-2.4510690007998321</v>
      </c>
      <c r="AD42">
        <f>$B$6*AD41+$B$7*'Станд.норм.распр.'!K42</f>
        <v>-2.4460089771608375</v>
      </c>
    </row>
    <row r="43" spans="3:30" x14ac:dyDescent="0.3">
      <c r="C43" s="4" t="s">
        <v>51</v>
      </c>
      <c r="D43" s="4" t="s">
        <v>5</v>
      </c>
      <c r="E43" s="4">
        <v>733</v>
      </c>
      <c r="F43" s="4" t="s">
        <v>269</v>
      </c>
      <c r="G43" s="4" t="s">
        <v>5</v>
      </c>
      <c r="H43" s="2">
        <f t="shared" si="10"/>
        <v>8076.1219674736267</v>
      </c>
      <c r="I43" s="2">
        <f t="shared" si="1"/>
        <v>8079.0691309329004</v>
      </c>
      <c r="J43" s="2">
        <f t="shared" si="2"/>
        <v>8076.9201696734117</v>
      </c>
      <c r="K43" s="2">
        <f t="shared" si="3"/>
        <v>8078.129683043021</v>
      </c>
      <c r="L43" s="2">
        <f t="shared" si="4"/>
        <v>8079.2850383899558</v>
      </c>
      <c r="M43" s="2">
        <f t="shared" si="5"/>
        <v>8070.9708781106056</v>
      </c>
      <c r="N43" s="2">
        <f t="shared" si="6"/>
        <v>8075.1850128665337</v>
      </c>
      <c r="O43" s="2">
        <f t="shared" si="7"/>
        <v>8079.3141336296558</v>
      </c>
      <c r="P43" s="2">
        <f t="shared" si="8"/>
        <v>8077.6175520713823</v>
      </c>
      <c r="Q43" s="2">
        <f t="shared" si="9"/>
        <v>8083.4538583901449</v>
      </c>
      <c r="S43">
        <v>41</v>
      </c>
      <c r="U43">
        <f>$B$6*U42+$B$7*'Станд.норм.распр.'!B43</f>
        <v>-0.87803252637358131</v>
      </c>
      <c r="V43">
        <f>$B$6*V42+$B$7*'Станд.норм.распр.'!C43</f>
        <v>2.0691309329002667</v>
      </c>
      <c r="W43">
        <f>$B$6*W42+$B$7*'Станд.норм.распр.'!D43</f>
        <v>-7.9830326588154588E-2</v>
      </c>
      <c r="X43">
        <f>$B$6*X42+$B$7*'Станд.норм.распр.'!E43</f>
        <v>1.1296830430213793</v>
      </c>
      <c r="Y43">
        <f>$B$6*Y42+$B$7*'Станд.норм.распр.'!F43</f>
        <v>2.2850383899557389</v>
      </c>
      <c r="Z43">
        <f>$B$6*Z42+$B$7*'Станд.норм.распр.'!G43</f>
        <v>-6.0291218893942791</v>
      </c>
      <c r="AA43">
        <f>$B$6*AA42+$B$7*'Станд.норм.распр.'!H43</f>
        <v>-1.8149871334666243</v>
      </c>
      <c r="AB43">
        <f>$B$6*AB42+$B$7*'Станд.норм.распр.'!I43</f>
        <v>2.3141336296559674</v>
      </c>
      <c r="AC43">
        <f>$B$6*AC42+$B$7*'Станд.норм.распр.'!J43</f>
        <v>0.61755207138199397</v>
      </c>
      <c r="AD43">
        <f>$B$6*AD42+$B$7*'Станд.норм.распр.'!K43</f>
        <v>6.4538583901445143</v>
      </c>
    </row>
    <row r="44" spans="3:30" x14ac:dyDescent="0.3">
      <c r="C44" s="4" t="s">
        <v>52</v>
      </c>
      <c r="D44" s="4" t="s">
        <v>5</v>
      </c>
      <c r="E44" s="4">
        <v>526</v>
      </c>
      <c r="F44" s="4" t="s">
        <v>270</v>
      </c>
      <c r="G44" s="4" t="s">
        <v>5</v>
      </c>
      <c r="H44" s="2">
        <f t="shared" si="10"/>
        <v>5799.4217457823133</v>
      </c>
      <c r="I44" s="2">
        <f t="shared" si="1"/>
        <v>5800.3265954638273</v>
      </c>
      <c r="J44" s="2">
        <f t="shared" si="2"/>
        <v>5799.6078034326583</v>
      </c>
      <c r="K44" s="2">
        <f t="shared" si="3"/>
        <v>5799.5445658175886</v>
      </c>
      <c r="L44" s="2">
        <f t="shared" si="4"/>
        <v>5803.750290722116</v>
      </c>
      <c r="M44" s="2">
        <f t="shared" si="5"/>
        <v>5796.850106243679</v>
      </c>
      <c r="N44" s="2">
        <f t="shared" si="6"/>
        <v>5798.3007139883239</v>
      </c>
      <c r="O44" s="2">
        <f t="shared" si="7"/>
        <v>5808.7351585689403</v>
      </c>
      <c r="P44" s="2">
        <f t="shared" si="8"/>
        <v>5803.2743336835601</v>
      </c>
      <c r="Q44" s="2">
        <f t="shared" si="9"/>
        <v>5802.2882283446888</v>
      </c>
      <c r="S44">
        <v>42</v>
      </c>
      <c r="U44">
        <f>$B$6*U43+$B$7*'Станд.норм.распр.'!B44</f>
        <v>-0.57825421768633989</v>
      </c>
      <c r="V44">
        <f>$B$6*V43+$B$7*'Станд.норм.распр.'!C44</f>
        <v>0.32659546382767335</v>
      </c>
      <c r="W44">
        <f>$B$6*W43+$B$7*'Станд.норм.распр.'!D44</f>
        <v>-0.39219656734204889</v>
      </c>
      <c r="X44">
        <f>$B$6*X43+$B$7*'Станд.норм.распр.'!E44</f>
        <v>-0.45543418241169009</v>
      </c>
      <c r="Y44">
        <f>$B$6*Y43+$B$7*'Станд.норм.распр.'!F44</f>
        <v>3.7502907221164197</v>
      </c>
      <c r="Z44">
        <f>$B$6*Z43+$B$7*'Станд.норм.распр.'!G44</f>
        <v>-3.1498937563209513</v>
      </c>
      <c r="AA44">
        <f>$B$6*AA43+$B$7*'Станд.норм.распр.'!H44</f>
        <v>-1.6992860116762969</v>
      </c>
      <c r="AB44">
        <f>$B$6*AB43+$B$7*'Станд.норм.распр.'!I44</f>
        <v>8.7351585689403759</v>
      </c>
      <c r="AC44">
        <f>$B$6*AC43+$B$7*'Станд.норм.распр.'!J44</f>
        <v>3.2743336835599868</v>
      </c>
      <c r="AD44">
        <f>$B$6*AD43+$B$7*'Станд.норм.распр.'!K44</f>
        <v>2.2882283446886458</v>
      </c>
    </row>
    <row r="45" spans="3:30" x14ac:dyDescent="0.3">
      <c r="C45" s="4" t="s">
        <v>53</v>
      </c>
      <c r="D45" s="4" t="s">
        <v>5</v>
      </c>
      <c r="E45" s="4">
        <v>270</v>
      </c>
      <c r="F45" s="4" t="s">
        <v>271</v>
      </c>
      <c r="G45" s="4" t="s">
        <v>5</v>
      </c>
      <c r="H45" s="2">
        <f t="shared" si="10"/>
        <v>2984.7141433178926</v>
      </c>
      <c r="I45" s="2">
        <f t="shared" si="1"/>
        <v>2982.165754054779</v>
      </c>
      <c r="J45" s="2">
        <f t="shared" si="2"/>
        <v>2980.9957868023967</v>
      </c>
      <c r="K45" s="2">
        <f t="shared" si="3"/>
        <v>2984.2810940353593</v>
      </c>
      <c r="L45" s="2">
        <f t="shared" si="4"/>
        <v>2985.1780244933593</v>
      </c>
      <c r="M45" s="2">
        <f t="shared" si="5"/>
        <v>2986.2658992696352</v>
      </c>
      <c r="N45" s="2">
        <f t="shared" si="6"/>
        <v>2984.3279639128073</v>
      </c>
      <c r="O45" s="2">
        <f t="shared" si="7"/>
        <v>2985.5587549646702</v>
      </c>
      <c r="P45" s="2">
        <f t="shared" si="8"/>
        <v>2984.5438769031994</v>
      </c>
      <c r="Q45" s="2">
        <f t="shared" si="9"/>
        <v>2983.9900199654767</v>
      </c>
      <c r="S45">
        <v>43</v>
      </c>
      <c r="U45">
        <f>$B$6*U44+$B$7*'Станд.норм.распр.'!B45</f>
        <v>0.71414331789281049</v>
      </c>
      <c r="V45">
        <f>$B$6*V44+$B$7*'Станд.норм.распр.'!C45</f>
        <v>-1.8342459452208355</v>
      </c>
      <c r="W45">
        <f>$B$6*W44+$B$7*'Станд.норм.распр.'!D45</f>
        <v>-3.004213197603538</v>
      </c>
      <c r="X45">
        <f>$B$6*X44+$B$7*'Станд.норм.распр.'!E45</f>
        <v>0.28109403535913358</v>
      </c>
      <c r="Y45">
        <f>$B$6*Y44+$B$7*'Станд.норм.распр.'!F45</f>
        <v>1.1780244933595236</v>
      </c>
      <c r="Z45">
        <f>$B$6*Z44+$B$7*'Станд.норм.распр.'!G45</f>
        <v>2.2658992696351978</v>
      </c>
      <c r="AA45">
        <f>$B$6*AA44+$B$7*'Станд.норм.распр.'!H45</f>
        <v>0.32796391280717574</v>
      </c>
      <c r="AB45">
        <f>$B$6*AB44+$B$7*'Станд.норм.распр.'!I45</f>
        <v>1.5587549646702916</v>
      </c>
      <c r="AC45">
        <f>$B$6*AC44+$B$7*'Станд.норм.распр.'!J45</f>
        <v>0.54387690319928295</v>
      </c>
      <c r="AD45">
        <f>$B$6*AD44+$B$7*'Станд.норм.распр.'!K45</f>
        <v>-9.9800345234166699E-3</v>
      </c>
    </row>
    <row r="46" spans="3:30" x14ac:dyDescent="0.3">
      <c r="C46" s="4" t="s">
        <v>54</v>
      </c>
      <c r="D46" s="4" t="s">
        <v>5</v>
      </c>
      <c r="E46" s="4">
        <v>728</v>
      </c>
      <c r="F46" s="4" t="s">
        <v>272</v>
      </c>
      <c r="G46" s="4" t="s">
        <v>5</v>
      </c>
      <c r="H46" s="2">
        <f t="shared" si="10"/>
        <v>8021.1896215223833</v>
      </c>
      <c r="I46" s="2">
        <f t="shared" si="1"/>
        <v>8021.6642487781301</v>
      </c>
      <c r="J46" s="2">
        <f t="shared" si="2"/>
        <v>8016.906137388587</v>
      </c>
      <c r="K46" s="2">
        <f t="shared" si="3"/>
        <v>8021.1494012921867</v>
      </c>
      <c r="L46" s="2">
        <f t="shared" si="4"/>
        <v>8025.9413642426798</v>
      </c>
      <c r="M46" s="2">
        <f t="shared" si="5"/>
        <v>8025.336667802766</v>
      </c>
      <c r="N46" s="2">
        <f t="shared" si="6"/>
        <v>8022.5151071653117</v>
      </c>
      <c r="O46" s="2">
        <f t="shared" si="7"/>
        <v>8024.1158503880124</v>
      </c>
      <c r="P46" s="2">
        <f t="shared" si="8"/>
        <v>8019.1531788010661</v>
      </c>
      <c r="Q46" s="2">
        <f t="shared" si="9"/>
        <v>8022.8053527089924</v>
      </c>
      <c r="S46">
        <v>44</v>
      </c>
      <c r="U46">
        <f>$B$6*U45+$B$7*'Станд.норм.распр.'!B46</f>
        <v>-0.81037847761686976</v>
      </c>
      <c r="V46">
        <f>$B$6*V45+$B$7*'Станд.норм.распр.'!C46</f>
        <v>-0.3357512218696177</v>
      </c>
      <c r="W46">
        <f>$B$6*W45+$B$7*'Станд.норм.распр.'!D46</f>
        <v>-5.0938626114126269</v>
      </c>
      <c r="X46">
        <f>$B$6*X45+$B$7*'Станд.норм.распр.'!E46</f>
        <v>-0.8505987078134033</v>
      </c>
      <c r="Y46">
        <f>$B$6*Y45+$B$7*'Станд.норм.распр.'!F46</f>
        <v>3.9413642426796867</v>
      </c>
      <c r="Z46">
        <f>$B$6*Z45+$B$7*'Станд.норм.распр.'!G46</f>
        <v>3.3366678027655534</v>
      </c>
      <c r="AA46">
        <f>$B$6*AA45+$B$7*'Станд.норм.распр.'!H46</f>
        <v>0.51510716531193057</v>
      </c>
      <c r="AB46">
        <f>$B$6*AB45+$B$7*'Станд.норм.распр.'!I46</f>
        <v>2.1158503880126562</v>
      </c>
      <c r="AC46">
        <f>$B$6*AC45+$B$7*'Станд.норм.распр.'!J46</f>
        <v>-2.8468211989336787</v>
      </c>
      <c r="AD46">
        <f>$B$6*AD45+$B$7*'Станд.норм.распр.'!K46</f>
        <v>0.80535270899231248</v>
      </c>
    </row>
    <row r="47" spans="3:30" x14ac:dyDescent="0.3">
      <c r="C47" s="4" t="s">
        <v>55</v>
      </c>
      <c r="D47" s="4" t="s">
        <v>5</v>
      </c>
      <c r="E47" s="4">
        <v>643</v>
      </c>
      <c r="F47" s="4" t="s">
        <v>273</v>
      </c>
      <c r="G47" s="4" t="s">
        <v>5</v>
      </c>
      <c r="H47" s="2">
        <f t="shared" si="10"/>
        <v>7083.1694854577945</v>
      </c>
      <c r="I47" s="2">
        <f t="shared" si="1"/>
        <v>7085.280974353981</v>
      </c>
      <c r="J47" s="2">
        <f t="shared" si="2"/>
        <v>7087.052761528631</v>
      </c>
      <c r="K47" s="2">
        <f t="shared" si="3"/>
        <v>7084.4660667386106</v>
      </c>
      <c r="L47" s="2">
        <f t="shared" si="4"/>
        <v>7091.4940387916204</v>
      </c>
      <c r="M47" s="2">
        <f t="shared" si="5"/>
        <v>7089.2284439397326</v>
      </c>
      <c r="N47" s="2">
        <f t="shared" si="6"/>
        <v>7087.7791749420958</v>
      </c>
      <c r="O47" s="2">
        <f t="shared" si="7"/>
        <v>7085.4755650549478</v>
      </c>
      <c r="P47" s="2">
        <f t="shared" si="8"/>
        <v>7085.0337540771752</v>
      </c>
      <c r="Q47" s="2">
        <f t="shared" si="9"/>
        <v>7084.8959497948372</v>
      </c>
      <c r="S47">
        <v>45</v>
      </c>
      <c r="U47">
        <f>$B$6*U46+$B$7*'Станд.норм.распр.'!B47</f>
        <v>-3.8305145422051106</v>
      </c>
      <c r="V47">
        <f>$B$6*V46+$B$7*'Станд.норм.распр.'!C47</f>
        <v>-1.7190256460188014</v>
      </c>
      <c r="W47">
        <f>$B$6*W46+$B$7*'Станд.норм.распр.'!D47</f>
        <v>5.2761528631161347E-2</v>
      </c>
      <c r="X47">
        <f>$B$6*X46+$B$7*'Станд.норм.распр.'!E47</f>
        <v>-2.5339332613894281</v>
      </c>
      <c r="Y47">
        <f>$B$6*Y46+$B$7*'Станд.норм.распр.'!F47</f>
        <v>4.4940387916207616</v>
      </c>
      <c r="Z47">
        <f>$B$6*Z46+$B$7*'Станд.норм.распр.'!G47</f>
        <v>2.2284439397328804</v>
      </c>
      <c r="AA47">
        <f>$B$6*AA46+$B$7*'Станд.норм.распр.'!H47</f>
        <v>0.7791749420954156</v>
      </c>
      <c r="AB47">
        <f>$B$6*AB46+$B$7*'Станд.норм.распр.'!I47</f>
        <v>-1.5244349450521091</v>
      </c>
      <c r="AC47">
        <f>$B$6*AC46+$B$7*'Станд.норм.распр.'!J47</f>
        <v>-1.9662459228251432</v>
      </c>
      <c r="AD47">
        <f>$B$6*AD46+$B$7*'Станд.норм.распр.'!K47</f>
        <v>-2.104050205162844</v>
      </c>
    </row>
    <row r="48" spans="3:30" x14ac:dyDescent="0.3">
      <c r="C48" s="4" t="s">
        <v>56</v>
      </c>
      <c r="D48" s="4" t="s">
        <v>5</v>
      </c>
      <c r="E48" s="4">
        <v>847</v>
      </c>
      <c r="F48" s="4" t="s">
        <v>274</v>
      </c>
      <c r="G48" s="4" t="s">
        <v>5</v>
      </c>
      <c r="H48" s="2">
        <f t="shared" si="10"/>
        <v>9326.6797272354743</v>
      </c>
      <c r="I48" s="2">
        <f t="shared" si="1"/>
        <v>9331.5237569956789</v>
      </c>
      <c r="J48" s="2">
        <f t="shared" si="2"/>
        <v>9328.5186787715884</v>
      </c>
      <c r="K48" s="2">
        <f t="shared" si="3"/>
        <v>9332.3441005717559</v>
      </c>
      <c r="L48" s="2">
        <f t="shared" si="4"/>
        <v>9334.3501250559602</v>
      </c>
      <c r="M48" s="2">
        <f t="shared" si="5"/>
        <v>9328.0010185386782</v>
      </c>
      <c r="N48" s="2">
        <f t="shared" si="6"/>
        <v>9333.9031557046001</v>
      </c>
      <c r="O48" s="2">
        <f t="shared" si="7"/>
        <v>9331.7302087634016</v>
      </c>
      <c r="P48" s="2">
        <f t="shared" si="8"/>
        <v>9332.0941879485417</v>
      </c>
      <c r="Q48" s="2">
        <f t="shared" si="9"/>
        <v>9326.8877139461038</v>
      </c>
      <c r="S48">
        <v>46</v>
      </c>
      <c r="U48">
        <f>$B$6*U47+$B$7*'Станд.норм.распр.'!B48</f>
        <v>-4.3202727645255345</v>
      </c>
      <c r="V48">
        <f>$B$6*V47+$B$7*'Станд.норм.распр.'!C48</f>
        <v>0.52375699567945855</v>
      </c>
      <c r="W48">
        <f>$B$6*W47+$B$7*'Станд.норм.распр.'!D48</f>
        <v>-2.4813212284110713</v>
      </c>
      <c r="X48">
        <f>$B$6*X47+$B$7*'Станд.норм.распр.'!E48</f>
        <v>1.3441005717568084</v>
      </c>
      <c r="Y48">
        <f>$B$6*Y47+$B$7*'Станд.норм.распр.'!F48</f>
        <v>3.3501250559599756</v>
      </c>
      <c r="Z48">
        <f>$B$6*Z47+$B$7*'Станд.норм.распр.'!G48</f>
        <v>-2.9989814613221544</v>
      </c>
      <c r="AA48">
        <f>$B$6*AA47+$B$7*'Станд.норм.распр.'!H48</f>
        <v>2.903155704600795</v>
      </c>
      <c r="AB48">
        <f>$B$6*AB47+$B$7*'Станд.норм.распр.'!I48</f>
        <v>0.73020876340121432</v>
      </c>
      <c r="AC48">
        <f>$B$6*AC47+$B$7*'Станд.норм.распр.'!J48</f>
        <v>1.0941879485410952</v>
      </c>
      <c r="AD48">
        <f>$B$6*AD47+$B$7*'Станд.норм.распр.'!K48</f>
        <v>-4.1122860538967076</v>
      </c>
    </row>
    <row r="49" spans="3:30" x14ac:dyDescent="0.3">
      <c r="C49" s="4" t="s">
        <v>57</v>
      </c>
      <c r="D49" s="4" t="s">
        <v>5</v>
      </c>
      <c r="E49" s="4">
        <v>980</v>
      </c>
      <c r="F49" s="4" t="s">
        <v>275</v>
      </c>
      <c r="G49" s="4" t="s">
        <v>5</v>
      </c>
      <c r="H49" s="2">
        <f t="shared" si="10"/>
        <v>10792.313552332656</v>
      </c>
      <c r="I49" s="2">
        <f t="shared" si="1"/>
        <v>10793.942621983282</v>
      </c>
      <c r="J49" s="2">
        <f t="shared" si="2"/>
        <v>10788.50349080558</v>
      </c>
      <c r="K49" s="2">
        <f t="shared" si="3"/>
        <v>10788.15572083651</v>
      </c>
      <c r="L49" s="2">
        <f t="shared" si="4"/>
        <v>10801.555218623353</v>
      </c>
      <c r="M49" s="2">
        <f t="shared" si="5"/>
        <v>10794.811753585273</v>
      </c>
      <c r="N49" s="2">
        <f t="shared" si="6"/>
        <v>10795.366537823948</v>
      </c>
      <c r="O49" s="2">
        <f t="shared" si="7"/>
        <v>10791.6691983766</v>
      </c>
      <c r="P49" s="2">
        <f t="shared" si="8"/>
        <v>10793.841248778645</v>
      </c>
      <c r="Q49" s="2">
        <f t="shared" si="9"/>
        <v>10788.013270983032</v>
      </c>
      <c r="S49">
        <v>47</v>
      </c>
      <c r="U49">
        <f>$B$6*U48+$B$7*'Станд.норм.распр.'!B49</f>
        <v>-1.6864476673435047</v>
      </c>
      <c r="V49">
        <f>$B$6*V48+$B$7*'Станд.норм.распр.'!C49</f>
        <v>-5.7378016718490077E-2</v>
      </c>
      <c r="W49">
        <f>$B$6*W48+$B$7*'Станд.норм.распр.'!D49</f>
        <v>-5.496509194420196</v>
      </c>
      <c r="X49">
        <f>$B$6*X48+$B$7*'Станд.норм.распр.'!E49</f>
        <v>-5.8442791634902367</v>
      </c>
      <c r="Y49">
        <f>$B$6*Y48+$B$7*'Станд.норм.распр.'!F49</f>
        <v>7.5552186233525003</v>
      </c>
      <c r="Z49">
        <f>$B$6*Z48+$B$7*'Станд.норм.распр.'!G49</f>
        <v>0.81175358527235897</v>
      </c>
      <c r="AA49">
        <f>$B$6*AA48+$B$7*'Станд.норм.распр.'!H49</f>
        <v>1.3665378239478743</v>
      </c>
      <c r="AB49">
        <f>$B$6*AB48+$B$7*'Станд.норм.распр.'!I49</f>
        <v>-2.3308016234006712</v>
      </c>
      <c r="AC49">
        <f>$B$6*AC48+$B$7*'Станд.норм.распр.'!J49</f>
        <v>-0.15875122135489539</v>
      </c>
      <c r="AD49">
        <f>$B$6*AD48+$B$7*'Станд.норм.распр.'!K49</f>
        <v>-5.9867290169679617</v>
      </c>
    </row>
    <row r="50" spans="3:30" x14ac:dyDescent="0.3">
      <c r="C50" s="4" t="s">
        <v>58</v>
      </c>
      <c r="D50" s="4" t="s">
        <v>5</v>
      </c>
      <c r="E50" s="4">
        <v>337</v>
      </c>
      <c r="F50" s="4" t="s">
        <v>276</v>
      </c>
      <c r="G50" s="4" t="s">
        <v>5</v>
      </c>
      <c r="H50" s="2">
        <f t="shared" si="10"/>
        <v>3720.9547486277697</v>
      </c>
      <c r="I50" s="2">
        <f t="shared" si="1"/>
        <v>3718.6153400000107</v>
      </c>
      <c r="J50" s="2">
        <f t="shared" si="2"/>
        <v>3717.2431339684176</v>
      </c>
      <c r="K50" s="2">
        <f t="shared" si="3"/>
        <v>3721.0921395911851</v>
      </c>
      <c r="L50" s="2">
        <f t="shared" si="4"/>
        <v>3725.2074274127872</v>
      </c>
      <c r="M50" s="2">
        <f t="shared" si="5"/>
        <v>3721.2990225338617</v>
      </c>
      <c r="N50" s="2">
        <f t="shared" si="6"/>
        <v>3727.2290492802395</v>
      </c>
      <c r="O50" s="2">
        <f t="shared" si="7"/>
        <v>3721.7498176787667</v>
      </c>
      <c r="P50" s="2">
        <f t="shared" si="8"/>
        <v>3722.2611559151069</v>
      </c>
      <c r="Q50" s="2">
        <f t="shared" si="9"/>
        <v>3716.8071836470026</v>
      </c>
      <c r="S50">
        <v>48</v>
      </c>
      <c r="U50">
        <f>$B$6*U49+$B$7*'Станд.норм.распр.'!B50</f>
        <v>-4.5251372230220577E-2</v>
      </c>
      <c r="V50">
        <f>$B$6*V49+$B$7*'Станд.норм.распр.'!C50</f>
        <v>-2.3846599999891192</v>
      </c>
      <c r="W50">
        <f>$B$6*W49+$B$7*'Станд.норм.распр.'!D50</f>
        <v>-3.75686603158224</v>
      </c>
      <c r="X50">
        <f>$B$6*X49+$B$7*'Станд.норм.распр.'!E50</f>
        <v>9.2139591185282477E-2</v>
      </c>
      <c r="Y50">
        <f>$B$6*Y49+$B$7*'Станд.норм.распр.'!F50</f>
        <v>4.2074274127871183</v>
      </c>
      <c r="Z50">
        <f>$B$6*Z49+$B$7*'Станд.норм.распр.'!G50</f>
        <v>0.29902253386163258</v>
      </c>
      <c r="AA50">
        <f>$B$6*AA49+$B$7*'Станд.норм.распр.'!H50</f>
        <v>6.2290492802396331</v>
      </c>
      <c r="AB50">
        <f>$B$6*AB49+$B$7*'Станд.норм.распр.'!I50</f>
        <v>0.74981767876660554</v>
      </c>
      <c r="AC50">
        <f>$B$6*AC49+$B$7*'Станд.норм.распр.'!J50</f>
        <v>1.2611559151067244</v>
      </c>
      <c r="AD50">
        <f>$B$6*AD49+$B$7*'Станд.норм.распр.'!K50</f>
        <v>-4.1928163529975135</v>
      </c>
    </row>
    <row r="51" spans="3:30" x14ac:dyDescent="0.3">
      <c r="C51" s="4" t="s">
        <v>59</v>
      </c>
      <c r="D51" s="4" t="s">
        <v>5</v>
      </c>
      <c r="E51" s="4">
        <v>972</v>
      </c>
      <c r="F51" s="4" t="s">
        <v>277</v>
      </c>
      <c r="G51" s="4" t="s">
        <v>5</v>
      </c>
      <c r="H51" s="2">
        <f t="shared" si="10"/>
        <v>10711.065028558447</v>
      </c>
      <c r="I51" s="2">
        <f t="shared" si="1"/>
        <v>10706.409143513807</v>
      </c>
      <c r="J51" s="2">
        <f t="shared" si="2"/>
        <v>10708.671723502444</v>
      </c>
      <c r="K51" s="2">
        <f t="shared" si="3"/>
        <v>10706.018038744434</v>
      </c>
      <c r="L51" s="2">
        <f t="shared" si="4"/>
        <v>10704.089868023901</v>
      </c>
      <c r="M51" s="2">
        <f t="shared" si="5"/>
        <v>10701.989405193972</v>
      </c>
      <c r="N51" s="2">
        <f t="shared" si="6"/>
        <v>10707.749351492259</v>
      </c>
      <c r="O51" s="2">
        <f t="shared" si="7"/>
        <v>10706.59968135998</v>
      </c>
      <c r="P51" s="2">
        <f t="shared" si="8"/>
        <v>10705.520593106854</v>
      </c>
      <c r="Q51" s="2">
        <f t="shared" si="9"/>
        <v>10703.733559515267</v>
      </c>
      <c r="S51">
        <v>49</v>
      </c>
      <c r="U51">
        <f>$B$6*U50+$B$7*'Станд.норм.распр.'!B51</f>
        <v>5.0650285584470351</v>
      </c>
      <c r="V51">
        <f>$B$6*V50+$B$7*'Станд.норм.распр.'!C51</f>
        <v>0.40914351380690617</v>
      </c>
      <c r="W51">
        <f>$B$6*W50+$B$7*'Станд.норм.распр.'!D51</f>
        <v>2.6717235024437516</v>
      </c>
      <c r="X51">
        <f>$B$6*X50+$B$7*'Станд.норм.распр.'!E51</f>
        <v>1.8038744433751239E-2</v>
      </c>
      <c r="Y51">
        <f>$B$6*Y50+$B$7*'Станд.норм.распр.'!F51</f>
        <v>-1.9101319760998519</v>
      </c>
      <c r="Z51">
        <f>$B$6*Z50+$B$7*'Станд.норм.распр.'!G51</f>
        <v>-4.0105948060282079</v>
      </c>
      <c r="AA51">
        <f>$B$6*AA50+$B$7*'Станд.норм.распр.'!H51</f>
        <v>1.7493514922594842</v>
      </c>
      <c r="AB51">
        <f>$B$6*AB50+$B$7*'Станд.норм.распр.'!I51</f>
        <v>0.59968135997946426</v>
      </c>
      <c r="AC51">
        <f>$B$6*AC50+$B$7*'Станд.норм.распр.'!J51</f>
        <v>-0.47940689314676754</v>
      </c>
      <c r="AD51">
        <f>$B$6*AD50+$B$7*'Станд.норм.распр.'!K51</f>
        <v>-2.2664404847319601</v>
      </c>
    </row>
    <row r="52" spans="3:30" x14ac:dyDescent="0.3">
      <c r="C52" s="4" t="s">
        <v>60</v>
      </c>
      <c r="D52" s="4" t="s">
        <v>5</v>
      </c>
      <c r="E52" s="4">
        <v>174</v>
      </c>
      <c r="F52" s="4" t="s">
        <v>278</v>
      </c>
      <c r="G52" s="4" t="s">
        <v>5</v>
      </c>
      <c r="H52" s="2">
        <f t="shared" si="10"/>
        <v>1931.9303507924296</v>
      </c>
      <c r="I52" s="2">
        <f t="shared" si="1"/>
        <v>1926.452032310006</v>
      </c>
      <c r="J52" s="2">
        <f t="shared" si="2"/>
        <v>1932.1977755505011</v>
      </c>
      <c r="K52" s="2">
        <f t="shared" si="3"/>
        <v>1924.8894752825033</v>
      </c>
      <c r="L52" s="2">
        <f t="shared" si="4"/>
        <v>1923.5760893870736</v>
      </c>
      <c r="M52" s="2">
        <f t="shared" si="5"/>
        <v>1925.1822180107092</v>
      </c>
      <c r="N52" s="2">
        <f t="shared" si="6"/>
        <v>1924.0938804664722</v>
      </c>
      <c r="O52" s="2">
        <f t="shared" si="7"/>
        <v>1929.1799132281603</v>
      </c>
      <c r="P52" s="2">
        <f t="shared" si="8"/>
        <v>1929.7713213218908</v>
      </c>
      <c r="Q52" s="2">
        <f t="shared" si="9"/>
        <v>1927.8739382742201</v>
      </c>
      <c r="S52">
        <v>50</v>
      </c>
      <c r="U52">
        <f>$B$6*U51+$B$7*'Станд.норм.распр.'!B52</f>
        <v>3.9303507924296475</v>
      </c>
      <c r="V52">
        <f>$B$6*V51+$B$7*'Станд.норм.распр.'!C52</f>
        <v>-1.5479676899941188</v>
      </c>
      <c r="W52">
        <f>$B$6*W51+$B$7*'Станд.норм.распр.'!D52</f>
        <v>4.1977755505010119</v>
      </c>
      <c r="X52">
        <f>$B$6*X51+$B$7*'Станд.норм.распр.'!E52</f>
        <v>-3.1105247174967241</v>
      </c>
      <c r="Y52">
        <f>$B$6*Y51+$B$7*'Станд.норм.распр.'!F52</f>
        <v>-4.4239106129264361</v>
      </c>
      <c r="Z52">
        <f>$B$6*Z51+$B$7*'Станд.норм.распр.'!G52</f>
        <v>-2.8177819892908</v>
      </c>
      <c r="AA52">
        <f>$B$6*AA51+$B$7*'Станд.норм.распр.'!H52</f>
        <v>-3.9061195335277263</v>
      </c>
      <c r="AB52">
        <f>$B$6*AB51+$B$7*'Станд.норм.распр.'!I52</f>
        <v>1.1799132281603062</v>
      </c>
      <c r="AC52">
        <f>$B$6*AC51+$B$7*'Станд.норм.распр.'!J52</f>
        <v>1.7713213218908559</v>
      </c>
      <c r="AD52">
        <f>$B$6*AD51+$B$7*'Станд.норм.распр.'!K52</f>
        <v>-0.12606172577992036</v>
      </c>
    </row>
    <row r="53" spans="3:30" x14ac:dyDescent="0.3">
      <c r="C53" s="4" t="s">
        <v>61</v>
      </c>
      <c r="D53" s="4" t="s">
        <v>5</v>
      </c>
      <c r="E53" s="4">
        <v>227</v>
      </c>
      <c r="F53" s="4" t="s">
        <v>279</v>
      </c>
      <c r="G53" s="4" t="s">
        <v>5</v>
      </c>
      <c r="H53" s="2">
        <f t="shared" si="10"/>
        <v>2508.4952908803584</v>
      </c>
      <c r="I53" s="2">
        <f t="shared" si="1"/>
        <v>2515.4958922105388</v>
      </c>
      <c r="J53" s="2">
        <f t="shared" si="2"/>
        <v>2509.7284800356838</v>
      </c>
      <c r="K53" s="2">
        <f t="shared" si="3"/>
        <v>2511.0943177404351</v>
      </c>
      <c r="L53" s="2">
        <f t="shared" si="4"/>
        <v>2506.3233708951511</v>
      </c>
      <c r="M53" s="2">
        <f t="shared" si="5"/>
        <v>2513.5976559928663</v>
      </c>
      <c r="N53" s="2">
        <f t="shared" si="6"/>
        <v>2508.3580696193508</v>
      </c>
      <c r="O53" s="2">
        <f t="shared" si="7"/>
        <v>2505.3994081668866</v>
      </c>
      <c r="P53" s="2">
        <f t="shared" si="8"/>
        <v>2511.6321094542486</v>
      </c>
      <c r="Q53" s="2">
        <f t="shared" si="9"/>
        <v>2510.3464706070367</v>
      </c>
      <c r="S53">
        <v>51</v>
      </c>
      <c r="U53">
        <f>$B$6*U52+$B$7*'Станд.норм.распр.'!B53</f>
        <v>-2.5047091196415687</v>
      </c>
      <c r="V53">
        <f>$B$6*V52+$B$7*'Станд.норм.распр.'!C53</f>
        <v>4.4958922105388011</v>
      </c>
      <c r="W53">
        <f>$B$6*W52+$B$7*'Станд.норм.распр.'!D53</f>
        <v>-1.2715199643163659</v>
      </c>
      <c r="X53">
        <f>$B$6*X52+$B$7*'Станд.норм.распр.'!E53</f>
        <v>9.4317740435005515E-2</v>
      </c>
      <c r="Y53">
        <f>$B$6*Y52+$B$7*'Станд.норм.распр.'!F53</f>
        <v>-4.6766291048489927</v>
      </c>
      <c r="Z53">
        <f>$B$6*Z52+$B$7*'Станд.норм.распр.'!G53</f>
        <v>2.597655992866283</v>
      </c>
      <c r="AA53">
        <f>$B$6*AA52+$B$7*'Станд.норм.распр.'!H53</f>
        <v>-2.6419303806490917</v>
      </c>
      <c r="AB53">
        <f>$B$6*AB52+$B$7*'Станд.норм.распр.'!I53</f>
        <v>-5.600591833113425</v>
      </c>
      <c r="AC53">
        <f>$B$6*AC52+$B$7*'Станд.норм.распр.'!J53</f>
        <v>0.63210945424841658</v>
      </c>
      <c r="AD53">
        <f>$B$6*AD52+$B$7*'Станд.норм.распр.'!K53</f>
        <v>-0.65352939296305157</v>
      </c>
    </row>
    <row r="54" spans="3:30" x14ac:dyDescent="0.3">
      <c r="C54" s="4" t="s">
        <v>62</v>
      </c>
      <c r="D54" s="4" t="s">
        <v>5</v>
      </c>
      <c r="E54" s="4">
        <v>271</v>
      </c>
      <c r="F54" s="4" t="s">
        <v>280</v>
      </c>
      <c r="G54" s="4" t="s">
        <v>5</v>
      </c>
      <c r="H54" s="2">
        <f t="shared" si="10"/>
        <v>2989.0295370828417</v>
      </c>
      <c r="I54" s="2">
        <f t="shared" si="1"/>
        <v>2998.1599316856568</v>
      </c>
      <c r="J54" s="2">
        <f t="shared" si="2"/>
        <v>2994.0781993866608</v>
      </c>
      <c r="K54" s="2">
        <f t="shared" si="3"/>
        <v>2998.7459874203314</v>
      </c>
      <c r="L54" s="2">
        <f t="shared" si="4"/>
        <v>2993.9320778788274</v>
      </c>
      <c r="M54" s="2">
        <f t="shared" si="5"/>
        <v>2994.4169754559689</v>
      </c>
      <c r="N54" s="2">
        <f t="shared" si="6"/>
        <v>2992.5729823866923</v>
      </c>
      <c r="O54" s="2">
        <f t="shared" si="7"/>
        <v>2989.7108286310431</v>
      </c>
      <c r="P54" s="2">
        <f t="shared" si="8"/>
        <v>2997.6418418633389</v>
      </c>
      <c r="Q54" s="2">
        <f t="shared" si="9"/>
        <v>2993.0901732669736</v>
      </c>
      <c r="S54">
        <v>52</v>
      </c>
      <c r="U54">
        <f>$B$6*U53+$B$7*'Станд.норм.распр.'!B54</f>
        <v>-5.970462917158553</v>
      </c>
      <c r="V54">
        <f>$B$6*V53+$B$7*'Станд.норм.распр.'!C54</f>
        <v>3.1599316856568094</v>
      </c>
      <c r="W54">
        <f>$B$6*W53+$B$7*'Станд.норм.распр.'!D54</f>
        <v>-0.92180061333927776</v>
      </c>
      <c r="X54">
        <f>$B$6*X53+$B$7*'Станд.норм.распр.'!E54</f>
        <v>3.7459874203313337</v>
      </c>
      <c r="Y54">
        <f>$B$6*Y53+$B$7*'Станд.норм.распр.'!F54</f>
        <v>-1.0679221211726753</v>
      </c>
      <c r="Z54">
        <f>$B$6*Z53+$B$7*'Станд.норм.распр.'!G54</f>
        <v>-0.58302454403088255</v>
      </c>
      <c r="AA54">
        <f>$B$6*AA53+$B$7*'Станд.норм.распр.'!H54</f>
        <v>-2.4270176133078847</v>
      </c>
      <c r="AB54">
        <f>$B$6*AB53+$B$7*'Станд.норм.распр.'!I54</f>
        <v>-5.2891713689566648</v>
      </c>
      <c r="AC54">
        <f>$B$6*AC53+$B$7*'Станд.норм.распр.'!J54</f>
        <v>2.6418418633389935</v>
      </c>
      <c r="AD54">
        <f>$B$6*AD53+$B$7*'Станд.норм.распр.'!K54</f>
        <v>-1.9098267330265557</v>
      </c>
    </row>
    <row r="55" spans="3:30" x14ac:dyDescent="0.3">
      <c r="C55" s="4" t="s">
        <v>63</v>
      </c>
      <c r="D55" s="4" t="s">
        <v>5</v>
      </c>
      <c r="E55" s="4">
        <v>323</v>
      </c>
      <c r="F55" s="4" t="s">
        <v>281</v>
      </c>
      <c r="G55" s="4" t="s">
        <v>5</v>
      </c>
      <c r="H55" s="2">
        <f t="shared" si="10"/>
        <v>3564.7473051328066</v>
      </c>
      <c r="I55" s="2">
        <f t="shared" si="1"/>
        <v>3566.4979824038442</v>
      </c>
      <c r="J55" s="2">
        <f t="shared" si="2"/>
        <v>3568.1694917280429</v>
      </c>
      <c r="K55" s="2">
        <f t="shared" si="3"/>
        <v>3569.7394170165994</v>
      </c>
      <c r="L55" s="2">
        <f t="shared" si="4"/>
        <v>3570.863413990171</v>
      </c>
      <c r="M55" s="2">
        <f t="shared" si="5"/>
        <v>3564.6749962727622</v>
      </c>
      <c r="N55" s="2">
        <f t="shared" si="6"/>
        <v>3560.7680449481154</v>
      </c>
      <c r="O55" s="2">
        <f t="shared" si="7"/>
        <v>3567.1885221438588</v>
      </c>
      <c r="P55" s="2">
        <f t="shared" si="8"/>
        <v>3568.0369539484086</v>
      </c>
      <c r="Q55" s="2">
        <f t="shared" si="9"/>
        <v>3564.3649884395854</v>
      </c>
      <c r="S55">
        <v>53</v>
      </c>
      <c r="U55">
        <f>$B$6*U54+$B$7*'Станд.норм.распр.'!B55</f>
        <v>-2.2526948671935525</v>
      </c>
      <c r="V55">
        <f>$B$6*V54+$B$7*'Станд.норм.распр.'!C55</f>
        <v>-0.50201759615562058</v>
      </c>
      <c r="W55">
        <f>$B$6*W54+$B$7*'Станд.норм.распр.'!D55</f>
        <v>1.1694917280430743</v>
      </c>
      <c r="X55">
        <f>$B$6*X54+$B$7*'Станд.норм.распр.'!E55</f>
        <v>2.7394170165993836</v>
      </c>
      <c r="Y55">
        <f>$B$6*Y54+$B$7*'Станд.норм.распр.'!F55</f>
        <v>3.8634139901712086</v>
      </c>
      <c r="Z55">
        <f>$B$6*Z54+$B$7*'Станд.норм.распр.'!G55</f>
        <v>-2.3250037272376884</v>
      </c>
      <c r="AA55">
        <f>$B$6*AA54+$B$7*'Станд.норм.распр.'!H55</f>
        <v>-6.2319550518846771</v>
      </c>
      <c r="AB55">
        <f>$B$6*AB54+$B$7*'Станд.норм.распр.'!I55</f>
        <v>0.18852214385890109</v>
      </c>
      <c r="AC55">
        <f>$B$6*AC54+$B$7*'Станд.норм.распр.'!J55</f>
        <v>1.0369539484084442</v>
      </c>
      <c r="AD55">
        <f>$B$6*AD54+$B$7*'Станд.норм.распр.'!K55</f>
        <v>-2.635011560414636</v>
      </c>
    </row>
    <row r="56" spans="3:30" x14ac:dyDescent="0.3">
      <c r="C56" s="4" t="s">
        <v>64</v>
      </c>
      <c r="D56" s="4" t="s">
        <v>5</v>
      </c>
      <c r="E56" s="4">
        <v>383</v>
      </c>
      <c r="F56" s="4" t="s">
        <v>282</v>
      </c>
      <c r="G56" s="4" t="s">
        <v>5</v>
      </c>
      <c r="H56" s="2">
        <f t="shared" si="10"/>
        <v>4220.1889923571771</v>
      </c>
      <c r="I56" s="2">
        <f t="shared" si="1"/>
        <v>4231.6090489448388</v>
      </c>
      <c r="J56" s="2">
        <f t="shared" si="2"/>
        <v>4232.2421727348574</v>
      </c>
      <c r="K56" s="2">
        <f t="shared" si="3"/>
        <v>4228.9623113817388</v>
      </c>
      <c r="L56" s="2">
        <f t="shared" si="4"/>
        <v>4228.6405947940739</v>
      </c>
      <c r="M56" s="2">
        <f t="shared" si="5"/>
        <v>4224.6984617511698</v>
      </c>
      <c r="N56" s="2">
        <f t="shared" si="6"/>
        <v>4221.4625132942183</v>
      </c>
      <c r="O56" s="2">
        <f t="shared" si="7"/>
        <v>4230.0042916884058</v>
      </c>
      <c r="P56" s="2">
        <f t="shared" si="8"/>
        <v>4227.2481114842085</v>
      </c>
      <c r="Q56" s="2">
        <f t="shared" si="9"/>
        <v>4221.9713602063639</v>
      </c>
      <c r="S56">
        <v>54</v>
      </c>
      <c r="U56">
        <f>$B$6*U55+$B$7*'Станд.норм.распр.'!B56</f>
        <v>-6.8110076428231983</v>
      </c>
      <c r="V56">
        <f>$B$6*V55+$B$7*'Станд.норм.распр.'!C56</f>
        <v>4.6090489448391683</v>
      </c>
      <c r="W56">
        <f>$B$6*W55+$B$7*'Станд.норм.распр.'!D56</f>
        <v>5.2421727348570162</v>
      </c>
      <c r="X56">
        <f>$B$6*X55+$B$7*'Станд.норм.распр.'!E56</f>
        <v>1.9623113817390103</v>
      </c>
      <c r="Y56">
        <f>$B$6*Y55+$B$7*'Станд.норм.распр.'!F56</f>
        <v>1.6405947940737482</v>
      </c>
      <c r="Z56">
        <f>$B$6*Z55+$B$7*'Станд.норм.распр.'!G56</f>
        <v>-2.3015382488303557</v>
      </c>
      <c r="AA56">
        <f>$B$6*AA55+$B$7*'Станд.норм.распр.'!H56</f>
        <v>-5.5374867057819701</v>
      </c>
      <c r="AB56">
        <f>$B$6*AB55+$B$7*'Станд.норм.распр.'!I56</f>
        <v>3.0042916884058837</v>
      </c>
      <c r="AC56">
        <f>$B$6*AC55+$B$7*'Станд.норм.распр.'!J56</f>
        <v>0.24811148420818374</v>
      </c>
      <c r="AD56">
        <f>$B$6*AD55+$B$7*'Станд.норм.распр.'!K56</f>
        <v>-5.0286397936361364</v>
      </c>
    </row>
    <row r="57" spans="3:30" x14ac:dyDescent="0.3">
      <c r="C57" s="4" t="s">
        <v>65</v>
      </c>
      <c r="D57" s="4" t="s">
        <v>5</v>
      </c>
      <c r="E57" s="4">
        <v>294</v>
      </c>
      <c r="F57" s="4" t="s">
        <v>283</v>
      </c>
      <c r="G57" s="4" t="s">
        <v>5</v>
      </c>
      <c r="H57" s="2">
        <f t="shared" si="10"/>
        <v>3243.6072283111303</v>
      </c>
      <c r="I57" s="2">
        <f t="shared" si="1"/>
        <v>3250.0442953008746</v>
      </c>
      <c r="J57" s="2">
        <f t="shared" si="2"/>
        <v>3253.0451398586965</v>
      </c>
      <c r="K57" s="2">
        <f t="shared" si="3"/>
        <v>3254.4369779381827</v>
      </c>
      <c r="L57" s="2">
        <f t="shared" si="4"/>
        <v>3249.9494737228129</v>
      </c>
      <c r="M57" s="2">
        <f t="shared" si="5"/>
        <v>3248.8588208100446</v>
      </c>
      <c r="N57" s="2">
        <f t="shared" si="6"/>
        <v>3245.1011714076894</v>
      </c>
      <c r="O57" s="2">
        <f t="shared" si="7"/>
        <v>3249.2082676424293</v>
      </c>
      <c r="P57" s="2">
        <f t="shared" si="8"/>
        <v>3246.3740650479958</v>
      </c>
      <c r="Q57" s="2">
        <f t="shared" si="9"/>
        <v>3248.5867659979231</v>
      </c>
      <c r="S57">
        <v>55</v>
      </c>
      <c r="U57">
        <f>$B$6*U56+$B$7*'Станд.норм.распр.'!B57</f>
        <v>-4.3927716888698853</v>
      </c>
      <c r="V57">
        <f>$B$6*V56+$B$7*'Станд.норм.распр.'!C57</f>
        <v>2.044295300874805</v>
      </c>
      <c r="W57">
        <f>$B$6*W56+$B$7*'Станд.норм.распр.'!D57</f>
        <v>5.0451398586963494</v>
      </c>
      <c r="X57">
        <f>$B$6*X56+$B$7*'Станд.норм.распр.'!E57</f>
        <v>6.4369779381828405</v>
      </c>
      <c r="Y57">
        <f>$B$6*Y56+$B$7*'Станд.норм.распр.'!F57</f>
        <v>1.9494737228127899</v>
      </c>
      <c r="Z57">
        <f>$B$6*Z56+$B$7*'Станд.норм.распр.'!G57</f>
        <v>0.85882081004447675</v>
      </c>
      <c r="AA57">
        <f>$B$6*AA56+$B$7*'Станд.норм.распр.'!H57</f>
        <v>-2.8988285923106751</v>
      </c>
      <c r="AB57">
        <f>$B$6*AB56+$B$7*'Станд.норм.распр.'!I57</f>
        <v>1.2082676424293188</v>
      </c>
      <c r="AC57">
        <f>$B$6*AC56+$B$7*'Станд.норм.распр.'!J57</f>
        <v>-1.6259349520043185</v>
      </c>
      <c r="AD57">
        <f>$B$6*AD56+$B$7*'Станд.норм.распр.'!K57</f>
        <v>0.58676599792304973</v>
      </c>
    </row>
    <row r="58" spans="3:30" x14ac:dyDescent="0.3">
      <c r="C58" s="4" t="s">
        <v>66</v>
      </c>
      <c r="D58" s="4" t="s">
        <v>5</v>
      </c>
      <c r="E58" s="4">
        <v>331</v>
      </c>
      <c r="F58" s="4" t="s">
        <v>284</v>
      </c>
      <c r="G58" s="4" t="s">
        <v>5</v>
      </c>
      <c r="H58" s="2">
        <f t="shared" si="10"/>
        <v>3653.3455183837223</v>
      </c>
      <c r="I58" s="2">
        <f t="shared" si="1"/>
        <v>3655.6347165499028</v>
      </c>
      <c r="J58" s="2">
        <f t="shared" si="2"/>
        <v>3659.4156126652492</v>
      </c>
      <c r="K58" s="2">
        <f t="shared" si="3"/>
        <v>3657.6782184207923</v>
      </c>
      <c r="L58" s="2">
        <f t="shared" si="4"/>
        <v>3660.926553524785</v>
      </c>
      <c r="M58" s="2">
        <f t="shared" si="5"/>
        <v>3654.1562553836138</v>
      </c>
      <c r="N58" s="2">
        <f t="shared" si="6"/>
        <v>3650.7651581352479</v>
      </c>
      <c r="O58" s="2">
        <f t="shared" si="7"/>
        <v>3653.9657541492838</v>
      </c>
      <c r="P58" s="2">
        <f t="shared" si="8"/>
        <v>3656.4782565878086</v>
      </c>
      <c r="Q58" s="2">
        <f t="shared" si="9"/>
        <v>3655.0633172192011</v>
      </c>
      <c r="S58">
        <v>56</v>
      </c>
      <c r="U58">
        <f>$B$6*U57+$B$7*'Станд.норм.распр.'!B58</f>
        <v>-1.6544816162775788</v>
      </c>
      <c r="V58">
        <f>$B$6*V57+$B$7*'Станд.норм.распр.'!C58</f>
        <v>0.63471654990266169</v>
      </c>
      <c r="W58">
        <f>$B$6*W57+$B$7*'Станд.норм.распр.'!D58</f>
        <v>4.415612665249137</v>
      </c>
      <c r="X58">
        <f>$B$6*X57+$B$7*'Станд.норм.распр.'!E58</f>
        <v>2.678218420792116</v>
      </c>
      <c r="Y58">
        <f>$B$6*Y57+$B$7*'Станд.норм.распр.'!F58</f>
        <v>5.9265535247852448</v>
      </c>
      <c r="Z58">
        <f>$B$6*Z57+$B$7*'Станд.норм.распр.'!G58</f>
        <v>-0.843744616386218</v>
      </c>
      <c r="AA58">
        <f>$B$6*AA57+$B$7*'Станд.норм.распр.'!H58</f>
        <v>-4.2348418647521253</v>
      </c>
      <c r="AB58">
        <f>$B$6*AB57+$B$7*'Станд.норм.распр.'!I58</f>
        <v>-1.0342458507163745</v>
      </c>
      <c r="AC58">
        <f>$B$6*AC57+$B$7*'Станд.норм.распр.'!J58</f>
        <v>1.4782565878085003</v>
      </c>
      <c r="AD58">
        <f>$B$6*AD57+$B$7*'Станд.норм.распр.'!K58</f>
        <v>6.3317219201044939E-2</v>
      </c>
    </row>
    <row r="59" spans="3:30" x14ac:dyDescent="0.3">
      <c r="C59" s="4" t="s">
        <v>67</v>
      </c>
      <c r="D59" s="4" t="s">
        <v>5</v>
      </c>
      <c r="E59" s="4">
        <v>908</v>
      </c>
      <c r="F59" s="4" t="s">
        <v>285</v>
      </c>
      <c r="G59" s="4" t="s">
        <v>5</v>
      </c>
      <c r="H59" s="2">
        <f t="shared" si="10"/>
        <v>10000.033228268905</v>
      </c>
      <c r="I59" s="2">
        <f t="shared" si="1"/>
        <v>9998.7461954961254</v>
      </c>
      <c r="J59" s="2">
        <f t="shared" si="2"/>
        <v>10003.922458054285</v>
      </c>
      <c r="K59" s="2">
        <f t="shared" si="3"/>
        <v>10001.414596820945</v>
      </c>
      <c r="L59" s="2">
        <f t="shared" si="4"/>
        <v>10003.625282726827</v>
      </c>
      <c r="M59" s="2">
        <f t="shared" si="5"/>
        <v>9996.9847247005018</v>
      </c>
      <c r="N59" s="2">
        <f t="shared" si="6"/>
        <v>10007.109896905156</v>
      </c>
      <c r="O59" s="2">
        <f t="shared" si="7"/>
        <v>9999.0072552337842</v>
      </c>
      <c r="P59" s="2">
        <f t="shared" si="8"/>
        <v>10004.687668396507</v>
      </c>
      <c r="Q59" s="2">
        <f t="shared" si="9"/>
        <v>9999.7670713718671</v>
      </c>
      <c r="S59">
        <v>57</v>
      </c>
      <c r="U59">
        <f>$B$6*U58+$B$7*'Станд.норм.распр.'!B59</f>
        <v>-1.96677173109439</v>
      </c>
      <c r="V59">
        <f>$B$6*V58+$B$7*'Станд.норм.распр.'!C59</f>
        <v>-3.2538045038746342</v>
      </c>
      <c r="W59">
        <f>$B$6*W58+$B$7*'Станд.норм.распр.'!D59</f>
        <v>1.9224580542851983</v>
      </c>
      <c r="X59">
        <f>$B$6*X58+$B$7*'Станд.норм.распр.'!E59</f>
        <v>-0.58540317905462524</v>
      </c>
      <c r="Y59">
        <f>$B$6*Y58+$B$7*'Станд.норм.распр.'!F59</f>
        <v>1.6252827268263967</v>
      </c>
      <c r="Z59">
        <f>$B$6*Z58+$B$7*'Станд.норм.распр.'!G59</f>
        <v>-5.0152752994972829</v>
      </c>
      <c r="AA59">
        <f>$B$6*AA58+$B$7*'Станд.норм.распр.'!H59</f>
        <v>5.109896905156547</v>
      </c>
      <c r="AB59">
        <f>$B$6*AB58+$B$7*'Станд.норм.распр.'!I59</f>
        <v>-2.9927447662165534</v>
      </c>
      <c r="AC59">
        <f>$B$6*AC58+$B$7*'Станд.норм.распр.'!J59</f>
        <v>2.6876683965073971</v>
      </c>
      <c r="AD59">
        <f>$B$6*AD58+$B$7*'Станд.норм.распр.'!K59</f>
        <v>-2.2329286281319627</v>
      </c>
    </row>
    <row r="60" spans="3:30" x14ac:dyDescent="0.3">
      <c r="C60" s="4" t="s">
        <v>68</v>
      </c>
      <c r="D60" s="4" t="s">
        <v>5</v>
      </c>
      <c r="E60" s="4">
        <v>152</v>
      </c>
      <c r="F60" s="4" t="s">
        <v>286</v>
      </c>
      <c r="G60" s="4" t="s">
        <v>5</v>
      </c>
      <c r="H60" s="2">
        <f t="shared" si="10"/>
        <v>1682.2508998635169</v>
      </c>
      <c r="I60" s="2">
        <f t="shared" si="1"/>
        <v>1679.9087793397812</v>
      </c>
      <c r="J60" s="2">
        <f t="shared" si="2"/>
        <v>1691.323965972183</v>
      </c>
      <c r="K60" s="2">
        <f t="shared" si="3"/>
        <v>1684.2640258157028</v>
      </c>
      <c r="L60" s="2">
        <f t="shared" si="4"/>
        <v>1684.5321538845569</v>
      </c>
      <c r="M60" s="2">
        <f t="shared" si="5"/>
        <v>1683.2054008556847</v>
      </c>
      <c r="N60" s="2">
        <f t="shared" si="6"/>
        <v>1686.6218491901618</v>
      </c>
      <c r="O60" s="2">
        <f t="shared" si="7"/>
        <v>1680.8991500471398</v>
      </c>
      <c r="P60" s="2">
        <f t="shared" si="8"/>
        <v>1683.4993318817569</v>
      </c>
      <c r="Q60" s="2">
        <f t="shared" si="9"/>
        <v>1681.9760766657269</v>
      </c>
      <c r="S60">
        <v>58</v>
      </c>
      <c r="U60">
        <f>$B$6*U59+$B$7*'Станд.норм.распр.'!B60</f>
        <v>-3.7491001364830545</v>
      </c>
      <c r="V60">
        <f>$B$6*V59+$B$7*'Станд.норм.распр.'!C60</f>
        <v>-6.091220660218859</v>
      </c>
      <c r="W60">
        <f>$B$6*W59+$B$7*'Станд.норм.распр.'!D60</f>
        <v>5.3239659721831227</v>
      </c>
      <c r="X60">
        <f>$B$6*X59+$B$7*'Станд.норм.распр.'!E60</f>
        <v>-1.7359741842972636</v>
      </c>
      <c r="Y60">
        <f>$B$6*Y59+$B$7*'Станд.норм.распр.'!F60</f>
        <v>-1.4678461154430318</v>
      </c>
      <c r="Z60">
        <f>$B$6*Z59+$B$7*'Станд.норм.распр.'!G60</f>
        <v>-2.7945991443152813</v>
      </c>
      <c r="AA60">
        <f>$B$6*AA59+$B$7*'Станд.норм.распр.'!H60</f>
        <v>0.62184919016192342</v>
      </c>
      <c r="AB60">
        <f>$B$6*AB59+$B$7*'Станд.норм.распр.'!I60</f>
        <v>-5.1008499528601838</v>
      </c>
      <c r="AC60">
        <f>$B$6*AC59+$B$7*'Станд.норм.распр.'!J60</f>
        <v>-2.5006681182431021</v>
      </c>
      <c r="AD60">
        <f>$B$6*AD59+$B$7*'Станд.норм.распр.'!K60</f>
        <v>-4.0239233342731513</v>
      </c>
    </row>
    <row r="61" spans="3:30" x14ac:dyDescent="0.3">
      <c r="C61" s="4" t="s">
        <v>69</v>
      </c>
      <c r="D61" s="4" t="s">
        <v>5</v>
      </c>
      <c r="E61" s="4">
        <v>593</v>
      </c>
      <c r="F61" s="4" t="s">
        <v>287</v>
      </c>
      <c r="G61" s="4" t="s">
        <v>5</v>
      </c>
      <c r="H61" s="2">
        <f t="shared" si="10"/>
        <v>6537.2024709402758</v>
      </c>
      <c r="I61" s="2">
        <f t="shared" si="1"/>
        <v>6533.3066884705495</v>
      </c>
      <c r="J61" s="2">
        <f t="shared" si="2"/>
        <v>6535.9449281621546</v>
      </c>
      <c r="K61" s="2">
        <f t="shared" si="3"/>
        <v>6535.0239959763121</v>
      </c>
      <c r="L61" s="2">
        <f t="shared" si="4"/>
        <v>6534.4439236340386</v>
      </c>
      <c r="M61" s="2">
        <f t="shared" si="5"/>
        <v>6539.1799340838024</v>
      </c>
      <c r="N61" s="2">
        <f t="shared" si="6"/>
        <v>6539.8170031397649</v>
      </c>
      <c r="O61" s="2">
        <f t="shared" si="7"/>
        <v>6533.248632744614</v>
      </c>
      <c r="P61" s="2">
        <f t="shared" si="8"/>
        <v>6539.1917782427327</v>
      </c>
      <c r="Q61" s="2">
        <f t="shared" si="9"/>
        <v>6533.0469446120187</v>
      </c>
      <c r="S61">
        <v>59</v>
      </c>
      <c r="U61">
        <f>$B$6*U60+$B$7*'Станд.норм.распр.'!B61</f>
        <v>0.20247094027594947</v>
      </c>
      <c r="V61">
        <f>$B$6*V60+$B$7*'Станд.норм.распр.'!C61</f>
        <v>-3.6933115294505292</v>
      </c>
      <c r="W61">
        <f>$B$6*W60+$B$7*'Станд.норм.распр.'!D61</f>
        <v>-1.0550718378457988</v>
      </c>
      <c r="X61">
        <f>$B$6*X60+$B$7*'Станд.норм.распр.'!E61</f>
        <v>-1.9760040236878003</v>
      </c>
      <c r="Y61">
        <f>$B$6*Y60+$B$7*'Станд.норм.распр.'!F61</f>
        <v>-2.5560763659611649</v>
      </c>
      <c r="Z61">
        <f>$B$6*Z60+$B$7*'Станд.норм.распр.'!G61</f>
        <v>2.1799340838026584</v>
      </c>
      <c r="AA61">
        <f>$B$6*AA60+$B$7*'Станд.норм.распр.'!H61</f>
        <v>2.8170031397649491</v>
      </c>
      <c r="AB61">
        <f>$B$6*AB60+$B$7*'Станд.норм.распр.'!I61</f>
        <v>-3.751367255386155</v>
      </c>
      <c r="AC61">
        <f>$B$6*AC60+$B$7*'Станд.норм.распр.'!J61</f>
        <v>2.1917782427330987</v>
      </c>
      <c r="AD61">
        <f>$B$6*AD60+$B$7*'Станд.норм.распр.'!K61</f>
        <v>-3.953055387981526</v>
      </c>
    </row>
    <row r="62" spans="3:30" x14ac:dyDescent="0.3">
      <c r="C62" s="4" t="s">
        <v>70</v>
      </c>
      <c r="D62" s="4" t="s">
        <v>5</v>
      </c>
      <c r="E62" s="4">
        <v>392</v>
      </c>
      <c r="F62" s="4" t="s">
        <v>288</v>
      </c>
      <c r="G62" s="4" t="s">
        <v>5</v>
      </c>
      <c r="H62" s="2">
        <f t="shared" si="10"/>
        <v>4327.512386985778</v>
      </c>
      <c r="I62" s="2">
        <f t="shared" si="1"/>
        <v>4319.6183444462449</v>
      </c>
      <c r="J62" s="2">
        <f t="shared" si="2"/>
        <v>4328.2578916496741</v>
      </c>
      <c r="K62" s="2">
        <f t="shared" si="3"/>
        <v>4325.3827716932283</v>
      </c>
      <c r="L62" s="2">
        <f t="shared" si="4"/>
        <v>4327.2252324029241</v>
      </c>
      <c r="M62" s="2">
        <f t="shared" si="5"/>
        <v>4324.3494298580472</v>
      </c>
      <c r="N62" s="2">
        <f t="shared" si="6"/>
        <v>4333.6520917480839</v>
      </c>
      <c r="O62" s="2">
        <f t="shared" si="7"/>
        <v>4324.6937680581123</v>
      </c>
      <c r="P62" s="2">
        <f t="shared" si="8"/>
        <v>4328.641009206578</v>
      </c>
      <c r="Q62" s="2">
        <f t="shared" si="9"/>
        <v>4326.3822536362677</v>
      </c>
      <c r="S62">
        <v>60</v>
      </c>
      <c r="U62">
        <f>$B$6*U61+$B$7*'Станд.норм.распр.'!B62</f>
        <v>1.5123869857780603</v>
      </c>
      <c r="V62">
        <f>$B$6*V61+$B$7*'Станд.норм.распр.'!C62</f>
        <v>-6.3816555537550901</v>
      </c>
      <c r="W62">
        <f>$B$6*W61+$B$7*'Станд.норм.распр.'!D62</f>
        <v>2.2578916496738883</v>
      </c>
      <c r="X62">
        <f>$B$6*X61+$B$7*'Станд.норм.распр.'!E62</f>
        <v>-0.61722830677213048</v>
      </c>
      <c r="Y62">
        <f>$B$6*Y61+$B$7*'Станд.норм.распр.'!F62</f>
        <v>1.2252324029242374</v>
      </c>
      <c r="Z62">
        <f>$B$6*Z61+$B$7*'Станд.норм.распр.'!G62</f>
        <v>-1.6505701419527012</v>
      </c>
      <c r="AA62">
        <f>$B$6*AA61+$B$7*'Станд.норм.распр.'!H62</f>
        <v>7.6520917480834498</v>
      </c>
      <c r="AB62">
        <f>$B$6*AB61+$B$7*'Станд.норм.распр.'!I62</f>
        <v>-1.3062319418873889</v>
      </c>
      <c r="AC62">
        <f>$B$6*AC61+$B$7*'Станд.норм.распр.'!J62</f>
        <v>2.6410092065777873</v>
      </c>
      <c r="AD62">
        <f>$B$6*AD61+$B$7*'Станд.норм.распр.'!K62</f>
        <v>0.38225363626758968</v>
      </c>
    </row>
    <row r="63" spans="3:30" x14ac:dyDescent="0.3">
      <c r="C63" s="4" t="s">
        <v>71</v>
      </c>
      <c r="D63" s="4" t="s">
        <v>5</v>
      </c>
      <c r="E63" s="4">
        <v>407</v>
      </c>
      <c r="F63" s="4" t="s">
        <v>289</v>
      </c>
      <c r="G63" s="4" t="s">
        <v>5</v>
      </c>
      <c r="H63" s="2">
        <f t="shared" si="10"/>
        <v>4496.8711189360838</v>
      </c>
      <c r="I63" s="2">
        <f t="shared" si="1"/>
        <v>4489.1588373494487</v>
      </c>
      <c r="J63" s="2">
        <f t="shared" si="2"/>
        <v>4491.7634926637702</v>
      </c>
      <c r="K63" s="2">
        <f t="shared" si="3"/>
        <v>4492.5827471541852</v>
      </c>
      <c r="L63" s="2">
        <f t="shared" si="4"/>
        <v>4493.3995686541384</v>
      </c>
      <c r="M63" s="2">
        <f t="shared" si="5"/>
        <v>4493.3080856119414</v>
      </c>
      <c r="N63" s="2">
        <f t="shared" si="6"/>
        <v>4490.2802276455341</v>
      </c>
      <c r="O63" s="2">
        <f t="shared" si="7"/>
        <v>4488.0568877830929</v>
      </c>
      <c r="P63" s="2">
        <f t="shared" si="8"/>
        <v>4490.0098741962793</v>
      </c>
      <c r="Q63" s="2">
        <f t="shared" si="9"/>
        <v>4490.5088523145732</v>
      </c>
      <c r="S63">
        <v>61</v>
      </c>
      <c r="U63">
        <f>$B$6*U62+$B$7*'Станд.норм.распр.'!B63</f>
        <v>5.8711189360838372</v>
      </c>
      <c r="V63">
        <f>$B$6*V62+$B$7*'Станд.норм.распр.'!C63</f>
        <v>-1.8411626505508183</v>
      </c>
      <c r="W63">
        <f>$B$6*W62+$B$7*'Станд.норм.распр.'!D63</f>
        <v>0.76349266377054614</v>
      </c>
      <c r="X63">
        <f>$B$6*X62+$B$7*'Станд.норм.распр.'!E63</f>
        <v>1.5827471541849949</v>
      </c>
      <c r="Y63">
        <f>$B$6*Y62+$B$7*'Станд.норм.распр.'!F63</f>
        <v>2.3995686541380237</v>
      </c>
      <c r="Z63">
        <f>$B$6*Z62+$B$7*'Станд.норм.распр.'!G63</f>
        <v>2.3080856119409519</v>
      </c>
      <c r="AA63">
        <f>$B$6*AA62+$B$7*'Станд.норм.распр.'!H63</f>
        <v>-0.71977235446568955</v>
      </c>
      <c r="AB63">
        <f>$B$6*AB62+$B$7*'Станд.норм.распр.'!I63</f>
        <v>-2.9431122169069606</v>
      </c>
      <c r="AC63">
        <f>$B$6*AC62+$B$7*'Станд.норм.распр.'!J63</f>
        <v>-0.9901258037208458</v>
      </c>
      <c r="AD63">
        <f>$B$6*AD62+$B$7*'Станд.норм.распр.'!K63</f>
        <v>-0.49114768542682552</v>
      </c>
    </row>
    <row r="64" spans="3:30" x14ac:dyDescent="0.3">
      <c r="C64" s="4" t="s">
        <v>72</v>
      </c>
      <c r="D64" s="4" t="s">
        <v>5</v>
      </c>
      <c r="E64" s="4">
        <v>211</v>
      </c>
      <c r="F64" s="4" t="s">
        <v>290</v>
      </c>
      <c r="G64" s="4" t="s">
        <v>5</v>
      </c>
      <c r="H64" s="2">
        <f t="shared" si="10"/>
        <v>2337.2490455823026</v>
      </c>
      <c r="I64" s="2">
        <f t="shared" si="1"/>
        <v>2336.4117200667406</v>
      </c>
      <c r="J64" s="2">
        <f t="shared" si="2"/>
        <v>2331.4737931175191</v>
      </c>
      <c r="K64" s="2">
        <f t="shared" si="3"/>
        <v>2333.6686129431546</v>
      </c>
      <c r="L64" s="2">
        <f t="shared" si="4"/>
        <v>2334.9809159075412</v>
      </c>
      <c r="M64" s="2">
        <f t="shared" si="5"/>
        <v>2340.1272477177154</v>
      </c>
      <c r="N64" s="2">
        <f t="shared" si="6"/>
        <v>2335.9543222981451</v>
      </c>
      <c r="O64" s="2">
        <f t="shared" si="7"/>
        <v>2333.2562332641742</v>
      </c>
      <c r="P64" s="2">
        <f t="shared" si="8"/>
        <v>2338.2588673847604</v>
      </c>
      <c r="Q64" s="2">
        <f t="shared" si="9"/>
        <v>2335.4659363680357</v>
      </c>
      <c r="S64">
        <v>62</v>
      </c>
      <c r="U64">
        <f>$B$6*U63+$B$7*'Станд.норм.распр.'!B64</f>
        <v>2.2490455823026592</v>
      </c>
      <c r="V64">
        <f>$B$6*V63+$B$7*'Станд.норм.распр.'!C64</f>
        <v>1.4117200667408247</v>
      </c>
      <c r="W64">
        <f>$B$6*W63+$B$7*'Станд.норм.распр.'!D64</f>
        <v>-3.5262068824807158</v>
      </c>
      <c r="X64">
        <f>$B$6*X63+$B$7*'Станд.норм.распр.'!E64</f>
        <v>-1.3313870568455171</v>
      </c>
      <c r="Y64">
        <f>$B$6*Y63+$B$7*'Станд.норм.распр.'!F64</f>
        <v>-1.9084092458995672E-2</v>
      </c>
      <c r="Z64">
        <f>$B$6*Z63+$B$7*'Станд.норм.распр.'!G64</f>
        <v>5.1272477177151634</v>
      </c>
      <c r="AA64">
        <f>$B$6*AA63+$B$7*'Станд.норм.распр.'!H64</f>
        <v>0.95432229814526437</v>
      </c>
      <c r="AB64">
        <f>$B$6*AB63+$B$7*'Станд.норм.распр.'!I64</f>
        <v>-1.7437667358257405</v>
      </c>
      <c r="AC64">
        <f>$B$6*AC63+$B$7*'Станд.норм.распр.'!J64</f>
        <v>3.2588673847603209</v>
      </c>
      <c r="AD64">
        <f>$B$6*AD63+$B$7*'Станд.норм.распр.'!K64</f>
        <v>0.46593636803569838</v>
      </c>
    </row>
    <row r="65" spans="3:30" x14ac:dyDescent="0.3">
      <c r="C65" s="4" t="s">
        <v>73</v>
      </c>
      <c r="D65" s="4" t="s">
        <v>5</v>
      </c>
      <c r="E65" s="4">
        <v>942</v>
      </c>
      <c r="F65" s="4" t="s">
        <v>291</v>
      </c>
      <c r="G65" s="4" t="s">
        <v>5</v>
      </c>
      <c r="H65" s="2">
        <f t="shared" si="10"/>
        <v>10376.518342298683</v>
      </c>
      <c r="I65" s="2">
        <f t="shared" si="1"/>
        <v>10375.262587438601</v>
      </c>
      <c r="J65" s="2">
        <f t="shared" si="2"/>
        <v>10374.308850095222</v>
      </c>
      <c r="K65" s="2">
        <f t="shared" si="3"/>
        <v>10380.238361020693</v>
      </c>
      <c r="L65" s="2">
        <f t="shared" si="4"/>
        <v>10371.414026133602</v>
      </c>
      <c r="M65" s="2">
        <f t="shared" si="5"/>
        <v>10380.687564562171</v>
      </c>
      <c r="N65" s="2">
        <f t="shared" si="6"/>
        <v>10376.703543475291</v>
      </c>
      <c r="O65" s="2">
        <f t="shared" si="7"/>
        <v>10370.960193452167</v>
      </c>
      <c r="P65" s="2">
        <f t="shared" si="8"/>
        <v>10383.873023870581</v>
      </c>
      <c r="Q65" s="2">
        <f t="shared" si="9"/>
        <v>10377.922738854073</v>
      </c>
      <c r="S65">
        <v>63</v>
      </c>
      <c r="U65">
        <f>$B$6*U64+$B$7*'Станд.норм.распр.'!B65</f>
        <v>0.51834229868291848</v>
      </c>
      <c r="V65">
        <f>$B$6*V64+$B$7*'Станд.норм.распр.'!C65</f>
        <v>-0.73741256139953859</v>
      </c>
      <c r="W65">
        <f>$B$6*W64+$B$7*'Станд.норм.распр.'!D65</f>
        <v>-1.6911499047779699</v>
      </c>
      <c r="X65">
        <f>$B$6*X64+$B$7*'Станд.норм.распр.'!E65</f>
        <v>4.2383610206924853</v>
      </c>
      <c r="Y65">
        <f>$B$6*Y64+$B$7*'Станд.норм.распр.'!F65</f>
        <v>-4.5859738663985894</v>
      </c>
      <c r="Z65">
        <f>$B$6*Z64+$B$7*'Станд.норм.распр.'!G65</f>
        <v>4.687564562171147</v>
      </c>
      <c r="AA65">
        <f>$B$6*AA64+$B$7*'Станд.норм.распр.'!H65</f>
        <v>0.70354347529093175</v>
      </c>
      <c r="AB65">
        <f>$B$6*AB64+$B$7*'Станд.норм.распр.'!I65</f>
        <v>-5.0398065478336331</v>
      </c>
      <c r="AC65">
        <f>$B$6*AC64+$B$7*'Станд.норм.распр.'!J65</f>
        <v>7.873023870581136</v>
      </c>
      <c r="AD65">
        <f>$B$6*AD64+$B$7*'Станд.норм.распр.'!K65</f>
        <v>1.9227388540725625</v>
      </c>
    </row>
    <row r="66" spans="3:30" x14ac:dyDescent="0.3">
      <c r="C66" s="4" t="s">
        <v>74</v>
      </c>
      <c r="D66" s="4" t="s">
        <v>5</v>
      </c>
      <c r="E66" s="4">
        <v>785</v>
      </c>
      <c r="F66" s="4" t="s">
        <v>292</v>
      </c>
      <c r="G66" s="4" t="s">
        <v>5</v>
      </c>
      <c r="H66" s="2">
        <f t="shared" si="10"/>
        <v>8646.2170068688556</v>
      </c>
      <c r="I66" s="2">
        <f t="shared" si="1"/>
        <v>8649.9868046228221</v>
      </c>
      <c r="J66" s="2">
        <f t="shared" si="2"/>
        <v>8652.4033842054596</v>
      </c>
      <c r="K66" s="2">
        <f t="shared" si="3"/>
        <v>8650.544118379099</v>
      </c>
      <c r="L66" s="2">
        <f t="shared" si="4"/>
        <v>8648.1595580661669</v>
      </c>
      <c r="M66" s="2">
        <f t="shared" si="5"/>
        <v>8653.5370152181022</v>
      </c>
      <c r="N66" s="2">
        <f t="shared" si="6"/>
        <v>8650.9795035003553</v>
      </c>
      <c r="O66" s="2">
        <f t="shared" si="7"/>
        <v>8640.5505823532458</v>
      </c>
      <c r="P66" s="2">
        <f t="shared" si="8"/>
        <v>8651.8574339882925</v>
      </c>
      <c r="Q66" s="2">
        <f t="shared" si="9"/>
        <v>8648.1894645642005</v>
      </c>
      <c r="S66">
        <v>64</v>
      </c>
      <c r="U66">
        <f>$B$6*U65+$B$7*'Станд.норм.распр.'!B66</f>
        <v>-2.7829931311452993</v>
      </c>
      <c r="V66">
        <f>$B$6*V65+$B$7*'Станд.норм.распр.'!C66</f>
        <v>0.98680462282260295</v>
      </c>
      <c r="W66">
        <f>$B$6*W65+$B$7*'Станд.норм.распр.'!D66</f>
        <v>3.4033842054597456</v>
      </c>
      <c r="X66">
        <f>$B$6*X65+$B$7*'Станд.норм.распр.'!E66</f>
        <v>1.5441183790989923</v>
      </c>
      <c r="Y66">
        <f>$B$6*Y65+$B$7*'Станд.норм.распр.'!F66</f>
        <v>-0.84044193383219468</v>
      </c>
      <c r="Z66">
        <f>$B$6*Z65+$B$7*'Станд.норм.распр.'!G66</f>
        <v>4.5370152181030132</v>
      </c>
      <c r="AA66">
        <f>$B$6*AA65+$B$7*'Станд.норм.распр.'!H66</f>
        <v>1.9795035003554933</v>
      </c>
      <c r="AB66">
        <f>$B$6*AB65+$B$7*'Станд.норм.распр.'!I66</f>
        <v>-8.4494176467545472</v>
      </c>
      <c r="AC66">
        <f>$B$6*AC65+$B$7*'Станд.норм.распр.'!J66</f>
        <v>2.8574339882934368</v>
      </c>
      <c r="AD66">
        <f>$B$6*AD65+$B$7*'Станд.норм.распр.'!K66</f>
        <v>-0.81053543579879073</v>
      </c>
    </row>
    <row r="67" spans="3:30" x14ac:dyDescent="0.3">
      <c r="C67" s="4" t="s">
        <v>75</v>
      </c>
      <c r="D67" s="4" t="s">
        <v>5</v>
      </c>
      <c r="E67" s="4">
        <v>896</v>
      </c>
      <c r="F67" s="4" t="s">
        <v>293</v>
      </c>
      <c r="G67" s="4" t="s">
        <v>5</v>
      </c>
      <c r="H67" s="2">
        <f t="shared" si="10"/>
        <v>9868.6692087951651</v>
      </c>
      <c r="I67" s="2">
        <f t="shared" si="1"/>
        <v>9871.3979391301909</v>
      </c>
      <c r="J67" s="2">
        <f t="shared" si="2"/>
        <v>9868.5368688192884</v>
      </c>
      <c r="K67" s="2">
        <f t="shared" si="3"/>
        <v>9874.5194683991576</v>
      </c>
      <c r="L67" s="2">
        <f t="shared" si="4"/>
        <v>9869.2955835392786</v>
      </c>
      <c r="M67" s="2">
        <f t="shared" si="5"/>
        <v>9869.094857679529</v>
      </c>
      <c r="N67" s="2">
        <f t="shared" si="6"/>
        <v>9866.3207970339972</v>
      </c>
      <c r="O67" s="2">
        <f t="shared" si="7"/>
        <v>9868.7092915259636</v>
      </c>
      <c r="P67" s="2">
        <f t="shared" si="8"/>
        <v>9875.5744712407122</v>
      </c>
      <c r="Q67" s="2">
        <f t="shared" si="9"/>
        <v>9869.6806897632341</v>
      </c>
      <c r="S67">
        <v>65</v>
      </c>
      <c r="U67">
        <f>$B$6*U66+$B$7*'Станд.норм.распр.'!B67</f>
        <v>-1.3307912048344384</v>
      </c>
      <c r="V67">
        <f>$B$6*V66+$B$7*'Станд.норм.распр.'!C67</f>
        <v>1.3979391301911901</v>
      </c>
      <c r="W67">
        <f>$B$6*W66+$B$7*'Станд.норм.распр.'!D67</f>
        <v>-1.463131180711492</v>
      </c>
      <c r="X67">
        <f>$B$6*X66+$B$7*'Станд.норм.распр.'!E67</f>
        <v>4.5194683991585283</v>
      </c>
      <c r="Y67">
        <f>$B$6*Y66+$B$7*'Станд.норм.распр.'!F67</f>
        <v>-0.70441646072097031</v>
      </c>
      <c r="Z67">
        <f>$B$6*Z66+$B$7*'Станд.норм.распр.'!G67</f>
        <v>-0.90514232047056442</v>
      </c>
      <c r="AA67">
        <f>$B$6*AA66+$B$7*'Станд.норм.распр.'!H67</f>
        <v>-3.6792029660027046</v>
      </c>
      <c r="AB67">
        <f>$B$6*AB66+$B$7*'Станд.норм.распр.'!I67</f>
        <v>-1.2907084740356147</v>
      </c>
      <c r="AC67">
        <f>$B$6*AC66+$B$7*'Станд.норм.распр.'!J67</f>
        <v>5.574471240711766</v>
      </c>
      <c r="AD67">
        <f>$B$6*AD66+$B$7*'Станд.норм.распр.'!K67</f>
        <v>-0.3193102367664587</v>
      </c>
    </row>
    <row r="68" spans="3:30" x14ac:dyDescent="0.3">
      <c r="C68" s="4" t="s">
        <v>76</v>
      </c>
      <c r="D68" s="4" t="s">
        <v>5</v>
      </c>
      <c r="E68" s="4">
        <v>920</v>
      </c>
      <c r="F68" s="4" t="s">
        <v>294</v>
      </c>
      <c r="G68" s="4" t="s">
        <v>5</v>
      </c>
      <c r="H68" s="2">
        <f t="shared" ref="H68:H102" si="11">$B$3+$B$4*$E68+U68</f>
        <v>10134.877889577234</v>
      </c>
      <c r="I68" s="2">
        <f t="shared" ref="I68:I102" si="12">$B$3+$B$4*$E68+V68</f>
        <v>10134.820520121382</v>
      </c>
      <c r="J68" s="2">
        <f t="shared" ref="J68:J102" si="13">$B$3+$B$4*$E68+W68</f>
        <v>10132.078672094311</v>
      </c>
      <c r="K68" s="2">
        <f t="shared" ref="K68:K102" si="14">$B$3+$B$4*$E68+X68</f>
        <v>10133.553848763862</v>
      </c>
      <c r="L68" s="2">
        <f t="shared" ref="L68:L102" si="15">$B$3+$B$4*$E68+Y68</f>
        <v>10131.929706255782</v>
      </c>
      <c r="M68" s="2">
        <f t="shared" ref="M68:M102" si="16">$B$3+$B$4*$E68+Z68</f>
        <v>10134.211818130016</v>
      </c>
      <c r="N68" s="2">
        <f t="shared" ref="N68:N102" si="17">$B$3+$B$4*$E68+AA68</f>
        <v>10131.240718611434</v>
      </c>
      <c r="O68" s="2">
        <f t="shared" ref="O68:O102" si="18">$B$3+$B$4*$E68+AB68</f>
        <v>10137.249768280843</v>
      </c>
      <c r="P68" s="2">
        <f t="shared" ref="P68:P102" si="19">$B$3+$B$4*$E68+AC68</f>
        <v>10139.893805768148</v>
      </c>
      <c r="Q68" s="2">
        <f t="shared" ref="Q68:Q102" si="20">$B$3+$B$4*$E68+AD68</f>
        <v>10133.436478074953</v>
      </c>
      <c r="S68">
        <v>66</v>
      </c>
      <c r="U68">
        <f>$B$6*U67+$B$7*'Станд.норм.распр.'!B68</f>
        <v>0.87788957723319183</v>
      </c>
      <c r="V68">
        <f>$B$6*V67+$B$7*'Станд.норм.распр.'!C68</f>
        <v>0.82052012138241526</v>
      </c>
      <c r="W68">
        <f>$B$6*W67+$B$7*'Станд.норм.распр.'!D68</f>
        <v>-1.9213279056902652</v>
      </c>
      <c r="X68">
        <f>$B$6*X67+$B$7*'Станд.норм.распр.'!E68</f>
        <v>-0.44615123613721774</v>
      </c>
      <c r="Y68">
        <f>$B$6*Y67+$B$7*'Станд.норм.распр.'!F68</f>
        <v>-2.0702937442181439</v>
      </c>
      <c r="Z68">
        <f>$B$6*Z67+$B$7*'Станд.норм.распр.'!G68</f>
        <v>0.21181813001497352</v>
      </c>
      <c r="AA68">
        <f>$B$6*AA67+$B$7*'Станд.норм.распр.'!H68</f>
        <v>-2.7592813885657601</v>
      </c>
      <c r="AB68">
        <f>$B$6*AB67+$B$7*'Станд.норм.распр.'!I68</f>
        <v>3.24976828084292</v>
      </c>
      <c r="AC68">
        <f>$B$6*AC67+$B$7*'Станд.норм.распр.'!J68</f>
        <v>5.8938057681486917</v>
      </c>
      <c r="AD68">
        <f>$B$6*AD67+$B$7*'Станд.норм.распр.'!K68</f>
        <v>-0.56352192504738419</v>
      </c>
    </row>
    <row r="69" spans="3:30" x14ac:dyDescent="0.3">
      <c r="C69" s="4" t="s">
        <v>77</v>
      </c>
      <c r="D69" s="4" t="s">
        <v>5</v>
      </c>
      <c r="E69" s="4">
        <v>147</v>
      </c>
      <c r="F69" s="4" t="s">
        <v>295</v>
      </c>
      <c r="G69" s="4" t="s">
        <v>5</v>
      </c>
      <c r="H69" s="2">
        <f t="shared" si="11"/>
        <v>1627.9231020250261</v>
      </c>
      <c r="I69" s="2">
        <f t="shared" si="12"/>
        <v>1633.426746238727</v>
      </c>
      <c r="J69" s="2">
        <f t="shared" si="13"/>
        <v>1633.394259639424</v>
      </c>
      <c r="K69" s="2">
        <f t="shared" si="14"/>
        <v>1631.2072063253402</v>
      </c>
      <c r="L69" s="2">
        <f t="shared" si="15"/>
        <v>1630.9467936301335</v>
      </c>
      <c r="M69" s="2">
        <f t="shared" si="16"/>
        <v>1632.8658017765688</v>
      </c>
      <c r="N69" s="2">
        <f t="shared" si="17"/>
        <v>1631.1806975110258</v>
      </c>
      <c r="O69" s="2">
        <f t="shared" si="18"/>
        <v>1632.2735304209693</v>
      </c>
      <c r="P69" s="2">
        <f t="shared" si="19"/>
        <v>1635.5188166831997</v>
      </c>
      <c r="Q69" s="2">
        <f t="shared" si="20"/>
        <v>1637.111513853695</v>
      </c>
      <c r="S69">
        <v>67</v>
      </c>
      <c r="U69">
        <f>$B$6*U68+$B$7*'Станд.норм.распр.'!B69</f>
        <v>-3.0768979749740306</v>
      </c>
      <c r="V69">
        <f>$B$6*V68+$B$7*'Станд.норм.распр.'!C69</f>
        <v>2.4267462387270555</v>
      </c>
      <c r="W69">
        <f>$B$6*W68+$B$7*'Станд.норм.распр.'!D69</f>
        <v>2.394259639424055</v>
      </c>
      <c r="X69">
        <f>$B$6*X68+$B$7*'Станд.норм.распр.'!E69</f>
        <v>0.20720632534016348</v>
      </c>
      <c r="Y69">
        <f>$B$6*Y68+$B$7*'Станд.норм.распр.'!F69</f>
        <v>-5.3206369866421133E-2</v>
      </c>
      <c r="Z69">
        <f>$B$6*Z68+$B$7*'Станд.норм.распр.'!G69</f>
        <v>1.8658017765688928</v>
      </c>
      <c r="AA69">
        <f>$B$6*AA68+$B$7*'Станд.норм.распр.'!H69</f>
        <v>0.18069751102577336</v>
      </c>
      <c r="AB69">
        <f>$B$6*AB68+$B$7*'Станд.норм.распр.'!I69</f>
        <v>1.2735304209692968</v>
      </c>
      <c r="AC69">
        <f>$B$6*AC68+$B$7*'Станд.норм.распр.'!J69</f>
        <v>4.5188166831998142</v>
      </c>
      <c r="AD69">
        <f>$B$6*AD68+$B$7*'Станд.норм.распр.'!K69</f>
        <v>6.1115138536950715</v>
      </c>
    </row>
    <row r="70" spans="3:30" x14ac:dyDescent="0.3">
      <c r="C70" s="4" t="s">
        <v>78</v>
      </c>
      <c r="D70" s="4" t="s">
        <v>5</v>
      </c>
      <c r="E70" s="4">
        <v>712</v>
      </c>
      <c r="F70" s="4" t="s">
        <v>296</v>
      </c>
      <c r="G70" s="4" t="s">
        <v>5</v>
      </c>
      <c r="H70" s="2">
        <f t="shared" si="11"/>
        <v>7841.8286252417729</v>
      </c>
      <c r="I70" s="2">
        <f t="shared" si="12"/>
        <v>7846.619600408364</v>
      </c>
      <c r="J70" s="2">
        <f t="shared" si="13"/>
        <v>7844.8119981542068</v>
      </c>
      <c r="K70" s="2">
        <f t="shared" si="14"/>
        <v>7843.4483447495277</v>
      </c>
      <c r="L70" s="2">
        <f t="shared" si="15"/>
        <v>7846.0618815546022</v>
      </c>
      <c r="M70" s="2">
        <f t="shared" si="16"/>
        <v>7841.092935363783</v>
      </c>
      <c r="N70" s="2">
        <f t="shared" si="17"/>
        <v>7842.9680420756431</v>
      </c>
      <c r="O70" s="2">
        <f t="shared" si="18"/>
        <v>7844.7988583171418</v>
      </c>
      <c r="P70" s="2">
        <f t="shared" si="19"/>
        <v>7846.7944511194028</v>
      </c>
      <c r="Q70" s="2">
        <f t="shared" si="20"/>
        <v>7847.9601112908767</v>
      </c>
      <c r="S70">
        <v>68</v>
      </c>
      <c r="U70">
        <f>$B$6*U69+$B$7*'Станд.норм.распр.'!B70</f>
        <v>-4.1713747582272731</v>
      </c>
      <c r="V70">
        <f>$B$6*V69+$B$7*'Станд.норм.распр.'!C70</f>
        <v>0.61960040836405383</v>
      </c>
      <c r="W70">
        <f>$B$6*W69+$B$7*'Станд.норм.распр.'!D70</f>
        <v>-1.1880018457934414</v>
      </c>
      <c r="X70">
        <f>$B$6*X69+$B$7*'Станд.норм.распр.'!E70</f>
        <v>-2.5516552504722103</v>
      </c>
      <c r="Y70">
        <f>$B$6*Y69+$B$7*'Станд.норм.распр.'!F70</f>
        <v>6.1881554602277622E-2</v>
      </c>
      <c r="Z70">
        <f>$B$6*Z69+$B$7*'Станд.норм.распр.'!G70</f>
        <v>-4.9070646362167212</v>
      </c>
      <c r="AA70">
        <f>$B$6*AA69+$B$7*'Станд.норм.распр.'!H70</f>
        <v>-3.0319579243573482</v>
      </c>
      <c r="AB70">
        <f>$B$6*AB69+$B$7*'Станд.норм.распр.'!I70</f>
        <v>-1.201141682858085</v>
      </c>
      <c r="AC70">
        <f>$B$6*AC69+$B$7*'Станд.норм.распр.'!J70</f>
        <v>0.79445111940293511</v>
      </c>
      <c r="AD70">
        <f>$B$6*AD69+$B$7*'Станд.норм.распр.'!K70</f>
        <v>1.9601112908766658</v>
      </c>
    </row>
    <row r="71" spans="3:30" x14ac:dyDescent="0.3">
      <c r="C71" s="4" t="s">
        <v>79</v>
      </c>
      <c r="D71" s="4" t="s">
        <v>5</v>
      </c>
      <c r="E71" s="4">
        <v>418</v>
      </c>
      <c r="F71" s="4" t="s">
        <v>297</v>
      </c>
      <c r="G71" s="4" t="s">
        <v>5</v>
      </c>
      <c r="H71" s="2">
        <f t="shared" si="11"/>
        <v>4613.1126256668713</v>
      </c>
      <c r="I71" s="2">
        <f t="shared" si="12"/>
        <v>4611.0744653830789</v>
      </c>
      <c r="J71" s="2">
        <f t="shared" si="13"/>
        <v>4607.5426429354384</v>
      </c>
      <c r="K71" s="2">
        <f t="shared" si="14"/>
        <v>4607.0811413246038</v>
      </c>
      <c r="L71" s="2">
        <f t="shared" si="15"/>
        <v>4612.6179263840886</v>
      </c>
      <c r="M71" s="2">
        <f t="shared" si="16"/>
        <v>4607.3083399187708</v>
      </c>
      <c r="N71" s="2">
        <f t="shared" si="17"/>
        <v>4609.3343742600455</v>
      </c>
      <c r="O71" s="2">
        <f t="shared" si="18"/>
        <v>4613.4162018274383</v>
      </c>
      <c r="P71" s="2">
        <f t="shared" si="19"/>
        <v>4609.24637893609</v>
      </c>
      <c r="Q71" s="2">
        <f t="shared" si="20"/>
        <v>4617.1558232171619</v>
      </c>
      <c r="S71">
        <v>69</v>
      </c>
      <c r="U71">
        <f>$B$6*U70+$B$7*'Станд.норм.распр.'!B71</f>
        <v>1.1126256668711934</v>
      </c>
      <c r="V71">
        <f>$B$6*V70+$B$7*'Станд.норм.распр.'!C71</f>
        <v>-0.92553461692157946</v>
      </c>
      <c r="W71">
        <f>$B$6*W70+$B$7*'Станд.норм.распр.'!D71</f>
        <v>-4.4573570645612737</v>
      </c>
      <c r="X71">
        <f>$B$6*X70+$B$7*'Станд.норм.распр.'!E71</f>
        <v>-4.9188586753961667</v>
      </c>
      <c r="Y71">
        <f>$B$6*Y70+$B$7*'Станд.норм.распр.'!F71</f>
        <v>0.61792638408863221</v>
      </c>
      <c r="Z71">
        <f>$B$6*Z70+$B$7*'Станд.норм.распр.'!G71</f>
        <v>-4.6916600812295162</v>
      </c>
      <c r="AA71">
        <f>$B$6*AA70+$B$7*'Станд.норм.распр.'!H71</f>
        <v>-2.6656257399547441</v>
      </c>
      <c r="AB71">
        <f>$B$6*AB70+$B$7*'Станд.норм.распр.'!I71</f>
        <v>1.4162018274378638</v>
      </c>
      <c r="AC71">
        <f>$B$6*AC70+$B$7*'Станд.норм.распр.'!J71</f>
        <v>-2.7536210639104017</v>
      </c>
      <c r="AD71">
        <f>$B$6*AD70+$B$7*'Станд.норм.распр.'!K71</f>
        <v>5.1558232171618874</v>
      </c>
    </row>
    <row r="72" spans="3:30" x14ac:dyDescent="0.3">
      <c r="C72" s="4" t="s">
        <v>80</v>
      </c>
      <c r="D72" s="4" t="s">
        <v>5</v>
      </c>
      <c r="E72" s="4">
        <v>876</v>
      </c>
      <c r="F72" s="4" t="s">
        <v>298</v>
      </c>
      <c r="G72" s="4" t="s">
        <v>5</v>
      </c>
      <c r="H72" s="2">
        <f t="shared" si="11"/>
        <v>9651.9097876056949</v>
      </c>
      <c r="I72" s="2">
        <f t="shared" si="12"/>
        <v>9646.1048542567296</v>
      </c>
      <c r="J72" s="2">
        <f t="shared" si="13"/>
        <v>9645.3182096207292</v>
      </c>
      <c r="K72" s="2">
        <f t="shared" si="14"/>
        <v>9644.7042364015106</v>
      </c>
      <c r="L72" s="2">
        <f t="shared" si="15"/>
        <v>9648.9139438386774</v>
      </c>
      <c r="M72" s="2">
        <f t="shared" si="16"/>
        <v>9643.4195489855101</v>
      </c>
      <c r="N72" s="2">
        <f t="shared" si="17"/>
        <v>9646.7449291505636</v>
      </c>
      <c r="O72" s="2">
        <f t="shared" si="18"/>
        <v>9644.7541120384558</v>
      </c>
      <c r="P72" s="2">
        <f t="shared" si="19"/>
        <v>9649.7123116471539</v>
      </c>
      <c r="Q72" s="2">
        <f t="shared" si="20"/>
        <v>9653.8184953509826</v>
      </c>
      <c r="S72">
        <v>70</v>
      </c>
      <c r="U72">
        <f>$B$6*U71+$B$7*'Станд.норм.распр.'!B72</f>
        <v>1.9097876056943748</v>
      </c>
      <c r="V72">
        <f>$B$6*V71+$B$7*'Станд.норм.распр.'!C72</f>
        <v>-3.8951457432697145</v>
      </c>
      <c r="W72">
        <f>$B$6*W71+$B$7*'Станд.норм.распр.'!D72</f>
        <v>-4.6817903792701232</v>
      </c>
      <c r="X72">
        <f>$B$6*X71+$B$7*'Станд.норм.распр.'!E72</f>
        <v>-5.2957635984898559</v>
      </c>
      <c r="Y72">
        <f>$B$6*Y71+$B$7*'Станд.норм.распр.'!F72</f>
        <v>-1.0860561613230721</v>
      </c>
      <c r="Z72">
        <f>$B$6*Z71+$B$7*'Станд.норм.распр.'!G72</f>
        <v>-6.5804510144900386</v>
      </c>
      <c r="AA72">
        <f>$B$6*AA71+$B$7*'Станд.норм.распр.'!H72</f>
        <v>-3.2550708494360356</v>
      </c>
      <c r="AB72">
        <f>$B$6*AB71+$B$7*'Станд.норм.распр.'!I72</f>
        <v>-5.2458879615435077</v>
      </c>
      <c r="AC72">
        <f>$B$6*AC71+$B$7*'Станд.норм.распр.'!J72</f>
        <v>-0.28768835284536487</v>
      </c>
      <c r="AD72">
        <f>$B$6*AD71+$B$7*'Станд.норм.распр.'!K72</f>
        <v>3.8184953509821571</v>
      </c>
    </row>
    <row r="73" spans="3:30" x14ac:dyDescent="0.3">
      <c r="C73" s="4" t="s">
        <v>81</v>
      </c>
      <c r="D73" s="4" t="s">
        <v>5</v>
      </c>
      <c r="E73" s="4">
        <v>757</v>
      </c>
      <c r="F73" s="4" t="s">
        <v>299</v>
      </c>
      <c r="G73" s="4" t="s">
        <v>5</v>
      </c>
      <c r="H73" s="2">
        <f t="shared" si="11"/>
        <v>8345.6317375922827</v>
      </c>
      <c r="I73" s="2">
        <f t="shared" si="12"/>
        <v>8339.768422284862</v>
      </c>
      <c r="J73" s="2">
        <f t="shared" si="13"/>
        <v>8338.7234833928305</v>
      </c>
      <c r="K73" s="2">
        <f t="shared" si="14"/>
        <v>8335.117166054597</v>
      </c>
      <c r="L73" s="2">
        <f t="shared" si="15"/>
        <v>8340.4593798065616</v>
      </c>
      <c r="M73" s="2">
        <f t="shared" si="16"/>
        <v>8335.5990805797719</v>
      </c>
      <c r="N73" s="2">
        <f t="shared" si="17"/>
        <v>8344.5790943692573</v>
      </c>
      <c r="O73" s="2">
        <f t="shared" si="18"/>
        <v>8333.8606781342169</v>
      </c>
      <c r="P73" s="2">
        <f t="shared" si="19"/>
        <v>8341.7693453475767</v>
      </c>
      <c r="Q73" s="2">
        <f t="shared" si="20"/>
        <v>8340.8456201133249</v>
      </c>
      <c r="S73">
        <v>71</v>
      </c>
      <c r="U73">
        <f>$B$6*U72+$B$7*'Станд.норм.распр.'!B73</f>
        <v>4.6317375922824118</v>
      </c>
      <c r="V73">
        <f>$B$6*V72+$B$7*'Станд.норм.распр.'!C73</f>
        <v>-1.2315777151376284</v>
      </c>
      <c r="W73">
        <f>$B$6*W72+$B$7*'Станд.норм.распр.'!D73</f>
        <v>-2.2765166071700649</v>
      </c>
      <c r="X73">
        <f>$B$6*X72+$B$7*'Станд.норм.распр.'!E73</f>
        <v>-5.8828339454032488</v>
      </c>
      <c r="Y73">
        <f>$B$6*Y72+$B$7*'Станд.норм.распр.'!F73</f>
        <v>-0.54062019343859224</v>
      </c>
      <c r="Z73">
        <f>$B$6*Z72+$B$7*'Станд.норм.распр.'!G73</f>
        <v>-5.400919420227261</v>
      </c>
      <c r="AA73">
        <f>$B$6*AA72+$B$7*'Станд.норм.распр.'!H73</f>
        <v>3.5790943692565529</v>
      </c>
      <c r="AB73">
        <f>$B$6*AB72+$B$7*'Станд.норм.распр.'!I73</f>
        <v>-7.1393218657827786</v>
      </c>
      <c r="AC73">
        <f>$B$6*AC72+$B$7*'Станд.норм.распр.'!J73</f>
        <v>0.76934534757619832</v>
      </c>
      <c r="AD73">
        <f>$B$6*AD72+$B$7*'Станд.норм.распр.'!K73</f>
        <v>-0.1543798866744146</v>
      </c>
    </row>
    <row r="74" spans="3:30" x14ac:dyDescent="0.3">
      <c r="C74" s="4" t="s">
        <v>82</v>
      </c>
      <c r="D74" s="4" t="s">
        <v>5</v>
      </c>
      <c r="E74" s="4">
        <v>670</v>
      </c>
      <c r="F74" s="4" t="s">
        <v>300</v>
      </c>
      <c r="G74" s="4" t="s">
        <v>5</v>
      </c>
      <c r="H74" s="2">
        <f t="shared" si="11"/>
        <v>7385.4060455394074</v>
      </c>
      <c r="I74" s="2">
        <f t="shared" si="12"/>
        <v>7386.5450371966581</v>
      </c>
      <c r="J74" s="2">
        <f t="shared" si="13"/>
        <v>7382.6279924631126</v>
      </c>
      <c r="K74" s="2">
        <f t="shared" si="14"/>
        <v>7379.9331003868801</v>
      </c>
      <c r="L74" s="2">
        <f t="shared" si="15"/>
        <v>7384.0136568865419</v>
      </c>
      <c r="M74" s="2">
        <f t="shared" si="16"/>
        <v>7384.3675296724296</v>
      </c>
      <c r="N74" s="2">
        <f t="shared" si="17"/>
        <v>7382.7908135498883</v>
      </c>
      <c r="O74" s="2">
        <f t="shared" si="18"/>
        <v>7383.3855192743176</v>
      </c>
      <c r="P74" s="2">
        <f t="shared" si="19"/>
        <v>7383.8893607223345</v>
      </c>
      <c r="Q74" s="2">
        <f t="shared" si="20"/>
        <v>7389.631126223082</v>
      </c>
      <c r="S74">
        <v>72</v>
      </c>
      <c r="U74">
        <f>$B$6*U73+$B$7*'Станд.норм.распр.'!B74</f>
        <v>1.4060455394072622</v>
      </c>
      <c r="V74">
        <f>$B$6*V73+$B$7*'Станд.норм.распр.'!C74</f>
        <v>2.5450371966582583</v>
      </c>
      <c r="W74">
        <f>$B$6*W73+$B$7*'Станд.норм.распр.'!D74</f>
        <v>-1.3720075368876927</v>
      </c>
      <c r="X74">
        <f>$B$6*X73+$B$7*'Станд.норм.распр.'!E74</f>
        <v>-4.0668996131199648</v>
      </c>
      <c r="Y74">
        <f>$B$6*Y73+$B$7*'Станд.норм.распр.'!F74</f>
        <v>1.3656886541756397E-2</v>
      </c>
      <c r="Z74">
        <f>$B$6*Z73+$B$7*'Станд.норм.распр.'!G74</f>
        <v>0.36752967242997059</v>
      </c>
      <c r="AA74">
        <f>$B$6*AA73+$B$7*'Станд.норм.распр.'!H74</f>
        <v>-1.2091864501120706</v>
      </c>
      <c r="AB74">
        <f>$B$6*AB73+$B$7*'Станд.норм.распр.'!I74</f>
        <v>-0.61448072568219336</v>
      </c>
      <c r="AC74">
        <f>$B$6*AC73+$B$7*'Станд.норм.распр.'!J74</f>
        <v>-0.11063927766581477</v>
      </c>
      <c r="AD74">
        <f>$B$6*AD73+$B$7*'Станд.норм.распр.'!K74</f>
        <v>5.6311262230823287</v>
      </c>
    </row>
    <row r="75" spans="3:30" x14ac:dyDescent="0.3">
      <c r="C75" s="4" t="s">
        <v>83</v>
      </c>
      <c r="D75" s="4" t="s">
        <v>5</v>
      </c>
      <c r="E75" s="4">
        <v>823</v>
      </c>
      <c r="F75" s="4" t="s">
        <v>301</v>
      </c>
      <c r="G75" s="4" t="s">
        <v>5</v>
      </c>
      <c r="H75" s="2">
        <f t="shared" si="11"/>
        <v>9068.8474854276792</v>
      </c>
      <c r="I75" s="2">
        <f t="shared" si="12"/>
        <v>9065.2612748639658</v>
      </c>
      <c r="J75" s="2">
        <f t="shared" si="13"/>
        <v>9064.4354963159367</v>
      </c>
      <c r="K75" s="2">
        <f t="shared" si="14"/>
        <v>9062.1473917400908</v>
      </c>
      <c r="L75" s="2">
        <f t="shared" si="15"/>
        <v>9069.3903844092056</v>
      </c>
      <c r="M75" s="2">
        <f t="shared" si="16"/>
        <v>9067.4974825280387</v>
      </c>
      <c r="N75" s="2">
        <f t="shared" si="17"/>
        <v>9065.9794937109546</v>
      </c>
      <c r="O75" s="2">
        <f t="shared" si="18"/>
        <v>9069.6628851160549</v>
      </c>
      <c r="P75" s="2">
        <f t="shared" si="19"/>
        <v>9069.8753519598995</v>
      </c>
      <c r="Q75" s="2">
        <f t="shared" si="20"/>
        <v>9068.8062057854004</v>
      </c>
      <c r="S75">
        <v>73</v>
      </c>
      <c r="U75">
        <f>$B$6*U74+$B$7*'Станд.норм.распр.'!B75</f>
        <v>1.8474854276795953</v>
      </c>
      <c r="V75">
        <f>$B$6*V74+$B$7*'Станд.норм.распр.'!C75</f>
        <v>-1.7387251360341045</v>
      </c>
      <c r="W75">
        <f>$B$6*W74+$B$7*'Станд.норм.распр.'!D75</f>
        <v>-2.5645036840634599</v>
      </c>
      <c r="X75">
        <f>$B$6*X74+$B$7*'Станд.норм.распр.'!E75</f>
        <v>-4.8526082599087736</v>
      </c>
      <c r="Y75">
        <f>$B$6*Y74+$B$7*'Станд.норм.распр.'!F75</f>
        <v>2.3903844092055255</v>
      </c>
      <c r="Z75">
        <f>$B$6*Z74+$B$7*'Станд.норм.распр.'!G75</f>
        <v>0.49748252803940751</v>
      </c>
      <c r="AA75">
        <f>$B$6*AA74+$B$7*'Станд.норм.распр.'!H75</f>
        <v>-1.0205062890451726</v>
      </c>
      <c r="AB75">
        <f>$B$6*AB74+$B$7*'Станд.норм.распр.'!I75</f>
        <v>2.6628851160549827</v>
      </c>
      <c r="AC75">
        <f>$B$6*AC74+$B$7*'Станд.норм.распр.'!J75</f>
        <v>2.8753519599002626</v>
      </c>
      <c r="AD75">
        <f>$B$6*AD74+$B$7*'Станд.норм.распр.'!K75</f>
        <v>1.8062057854010045</v>
      </c>
    </row>
    <row r="76" spans="3:30" x14ac:dyDescent="0.3">
      <c r="C76" s="4" t="s">
        <v>84</v>
      </c>
      <c r="D76" s="4" t="s">
        <v>5</v>
      </c>
      <c r="E76" s="4">
        <v>634</v>
      </c>
      <c r="F76" s="4" t="s">
        <v>302</v>
      </c>
      <c r="G76" s="4" t="s">
        <v>5</v>
      </c>
      <c r="H76" s="2">
        <f t="shared" si="11"/>
        <v>6990.1254319153195</v>
      </c>
      <c r="I76" s="2">
        <f t="shared" si="12"/>
        <v>6985.356276933453</v>
      </c>
      <c r="J76" s="2">
        <f t="shared" si="13"/>
        <v>6986.8487153950236</v>
      </c>
      <c r="K76" s="2">
        <f t="shared" si="14"/>
        <v>6984.7562079260406</v>
      </c>
      <c r="L76" s="2">
        <f t="shared" si="15"/>
        <v>6986.6144896196383</v>
      </c>
      <c r="M76" s="2">
        <f t="shared" si="16"/>
        <v>6983.5697457263313</v>
      </c>
      <c r="N76" s="2">
        <f t="shared" si="17"/>
        <v>6984.0511747617493</v>
      </c>
      <c r="O76" s="2">
        <f t="shared" si="18"/>
        <v>6988.1568096870569</v>
      </c>
      <c r="P76" s="2">
        <f t="shared" si="19"/>
        <v>6988.0403510575134</v>
      </c>
      <c r="Q76" s="2">
        <f t="shared" si="20"/>
        <v>6988.35929316703</v>
      </c>
      <c r="S76">
        <v>74</v>
      </c>
      <c r="U76">
        <f>$B$6*U75+$B$7*'Станд.норм.распр.'!B76</f>
        <v>2.1254319153196919</v>
      </c>
      <c r="V76">
        <f>$B$6*V75+$B$7*'Станд.норм.распр.'!C76</f>
        <v>-2.6437230665469111</v>
      </c>
      <c r="W76">
        <f>$B$6*W75+$B$7*'Станд.норм.распр.'!D76</f>
        <v>-1.1512846049764283</v>
      </c>
      <c r="X76">
        <f>$B$6*X75+$B$7*'Станд.норм.распр.'!E76</f>
        <v>-3.2437920739592112</v>
      </c>
      <c r="Y76">
        <f>$B$6*Y75+$B$7*'Станд.норм.распр.'!F76</f>
        <v>-1.3855103803616933</v>
      </c>
      <c r="Z76">
        <f>$B$6*Z75+$B$7*'Станд.норм.распр.'!G76</f>
        <v>-4.4302542736683206</v>
      </c>
      <c r="AA76">
        <f>$B$6*AA75+$B$7*'Станд.норм.распр.'!H76</f>
        <v>-3.9488252382505848</v>
      </c>
      <c r="AB76">
        <f>$B$6*AB75+$B$7*'Станд.норм.распр.'!I76</f>
        <v>0.15680968705696463</v>
      </c>
      <c r="AC76">
        <f>$B$6*AC75+$B$7*'Станд.норм.распр.'!J76</f>
        <v>4.0351057513748678E-2</v>
      </c>
      <c r="AD76">
        <f>$B$6*AD75+$B$7*'Станд.норм.распр.'!K76</f>
        <v>0.35929316703037228</v>
      </c>
    </row>
    <row r="77" spans="3:30" x14ac:dyDescent="0.3">
      <c r="C77" s="4" t="s">
        <v>85</v>
      </c>
      <c r="D77" s="4" t="s">
        <v>5</v>
      </c>
      <c r="E77" s="4">
        <v>407</v>
      </c>
      <c r="F77" s="4" t="s">
        <v>303</v>
      </c>
      <c r="G77" s="4" t="s">
        <v>5</v>
      </c>
      <c r="H77" s="2">
        <f t="shared" si="11"/>
        <v>4492.8659202873732</v>
      </c>
      <c r="I77" s="2">
        <f t="shared" si="12"/>
        <v>4489.6048070457909</v>
      </c>
      <c r="J77" s="2">
        <f t="shared" si="13"/>
        <v>4485.9425725495948</v>
      </c>
      <c r="K77" s="2">
        <f t="shared" si="14"/>
        <v>4483.5228043578472</v>
      </c>
      <c r="L77" s="2">
        <f t="shared" si="15"/>
        <v>4488.6651339358741</v>
      </c>
      <c r="M77" s="2">
        <f t="shared" si="16"/>
        <v>4491.0850190700012</v>
      </c>
      <c r="N77" s="2">
        <f t="shared" si="17"/>
        <v>4488.0194042973562</v>
      </c>
      <c r="O77" s="2">
        <f t="shared" si="18"/>
        <v>4490.3373553817346</v>
      </c>
      <c r="P77" s="2">
        <f t="shared" si="19"/>
        <v>4491.9463526370973</v>
      </c>
      <c r="Q77" s="2">
        <f t="shared" si="20"/>
        <v>4491.5749459500885</v>
      </c>
      <c r="S77">
        <v>75</v>
      </c>
      <c r="U77">
        <f>$B$6*U76+$B$7*'Станд.норм.распр.'!B77</f>
        <v>1.8659202873733265</v>
      </c>
      <c r="V77">
        <f>$B$6*V76+$B$7*'Станд.норм.распр.'!C77</f>
        <v>-1.3951929542090296</v>
      </c>
      <c r="W77">
        <f>$B$6*W76+$B$7*'Станд.норм.распр.'!D77</f>
        <v>-5.0574274504047345</v>
      </c>
      <c r="X77">
        <f>$B$6*X76+$B$7*'Станд.норм.распр.'!E77</f>
        <v>-7.4771956421526644</v>
      </c>
      <c r="Y77">
        <f>$B$6*Y76+$B$7*'Станд.норм.распр.'!F77</f>
        <v>-2.334866064125904</v>
      </c>
      <c r="Z77">
        <f>$B$6*Z76+$B$7*'Станд.норм.распр.'!G77</f>
        <v>8.5019070000891706E-2</v>
      </c>
      <c r="AA77">
        <f>$B$6*AA76+$B$7*'Станд.норм.распр.'!H77</f>
        <v>-2.9805957026437007</v>
      </c>
      <c r="AB77">
        <f>$B$6*AB76+$B$7*'Станд.норм.распр.'!I77</f>
        <v>-0.66264461826583632</v>
      </c>
      <c r="AC77">
        <f>$B$6*AC76+$B$7*'Станд.норм.распр.'!J77</f>
        <v>0.94635263709707251</v>
      </c>
      <c r="AD77">
        <f>$B$6*AD76+$B$7*'Станд.норм.распр.'!K77</f>
        <v>0.57494595008864002</v>
      </c>
    </row>
    <row r="78" spans="3:30" x14ac:dyDescent="0.3">
      <c r="C78" s="4" t="s">
        <v>86</v>
      </c>
      <c r="D78" s="4" t="s">
        <v>5</v>
      </c>
      <c r="E78" s="4">
        <v>923</v>
      </c>
      <c r="F78" s="4" t="s">
        <v>304</v>
      </c>
      <c r="G78" s="4" t="s">
        <v>5</v>
      </c>
      <c r="H78" s="2">
        <f t="shared" si="11"/>
        <v>10164.649147668413</v>
      </c>
      <c r="I78" s="2">
        <f t="shared" si="12"/>
        <v>10167.429608518905</v>
      </c>
      <c r="J78" s="2">
        <f t="shared" si="13"/>
        <v>10163.416413392421</v>
      </c>
      <c r="K78" s="2">
        <f t="shared" si="14"/>
        <v>10165.58594785487</v>
      </c>
      <c r="L78" s="2">
        <f t="shared" si="15"/>
        <v>10163.0184016405</v>
      </c>
      <c r="M78" s="2">
        <f t="shared" si="16"/>
        <v>10162.521847929944</v>
      </c>
      <c r="N78" s="2">
        <f t="shared" si="17"/>
        <v>10169.050208028732</v>
      </c>
      <c r="O78" s="2">
        <f t="shared" si="18"/>
        <v>10167.735767360826</v>
      </c>
      <c r="P78" s="2">
        <f t="shared" si="19"/>
        <v>10167.379643883418</v>
      </c>
      <c r="Q78" s="2">
        <f t="shared" si="20"/>
        <v>10164.450422487174</v>
      </c>
      <c r="S78">
        <v>76</v>
      </c>
      <c r="U78">
        <f>$B$6*U77+$B$7*'Станд.норм.распр.'!B78</f>
        <v>-2.3508523315876539</v>
      </c>
      <c r="V78">
        <f>$B$6*V77+$B$7*'Станд.норм.распр.'!C78</f>
        <v>0.42960851890530816</v>
      </c>
      <c r="W78">
        <f>$B$6*W77+$B$7*'Станд.норм.распр.'!D78</f>
        <v>-3.5835866075801892</v>
      </c>
      <c r="X78">
        <f>$B$6*X77+$B$7*'Станд.норм.распр.'!E78</f>
        <v>-1.414052145129467</v>
      </c>
      <c r="Y78">
        <f>$B$6*Y77+$B$7*'Станд.норм.распр.'!F78</f>
        <v>-3.9815983594990101</v>
      </c>
      <c r="Z78">
        <f>$B$6*Z77+$B$7*'Станд.норм.распр.'!G78</f>
        <v>-4.4781520700559296</v>
      </c>
      <c r="AA78">
        <f>$B$6*AA77+$B$7*'Станд.норм.распр.'!H78</f>
        <v>2.0502080287315296</v>
      </c>
      <c r="AB78">
        <f>$B$6*AB77+$B$7*'Станд.норм.распр.'!I78</f>
        <v>0.73576736082646865</v>
      </c>
      <c r="AC78">
        <f>$B$6*AC77+$B$7*'Станд.норм.распр.'!J78</f>
        <v>0.37964388341820832</v>
      </c>
      <c r="AD78">
        <f>$B$6*AD77+$B$7*'Станд.норм.распр.'!K78</f>
        <v>-2.549577512825099</v>
      </c>
    </row>
    <row r="79" spans="3:30" x14ac:dyDescent="0.3">
      <c r="C79" s="4" t="s">
        <v>87</v>
      </c>
      <c r="D79" s="4" t="s">
        <v>5</v>
      </c>
      <c r="E79" s="4">
        <v>235</v>
      </c>
      <c r="F79" s="4" t="s">
        <v>305</v>
      </c>
      <c r="G79" s="4" t="s">
        <v>5</v>
      </c>
      <c r="H79" s="2">
        <f t="shared" si="11"/>
        <v>2591.4246415167704</v>
      </c>
      <c r="I79" s="2">
        <f t="shared" si="12"/>
        <v>2601.3665550370097</v>
      </c>
      <c r="J79" s="2">
        <f t="shared" si="13"/>
        <v>2594.4491567477012</v>
      </c>
      <c r="K79" s="2">
        <f t="shared" si="14"/>
        <v>2598.1748680823316</v>
      </c>
      <c r="L79" s="2">
        <f t="shared" si="15"/>
        <v>2592.9187938737618</v>
      </c>
      <c r="M79" s="2">
        <f t="shared" si="16"/>
        <v>2597.4144982263497</v>
      </c>
      <c r="N79" s="2">
        <f t="shared" si="17"/>
        <v>2598.4831285070859</v>
      </c>
      <c r="O79" s="2">
        <f t="shared" si="18"/>
        <v>2601.8415751187672</v>
      </c>
      <c r="P79" s="2">
        <f t="shared" si="19"/>
        <v>2605.393930954906</v>
      </c>
      <c r="Q79" s="2">
        <f t="shared" si="20"/>
        <v>2598.7081203576877</v>
      </c>
      <c r="S79">
        <v>77</v>
      </c>
      <c r="U79">
        <f>$B$6*U78+$B$7*'Станд.норм.распр.'!B79</f>
        <v>-7.575358483229568</v>
      </c>
      <c r="V79">
        <f>$B$6*V78+$B$7*'Станд.норм.распр.'!C79</f>
        <v>2.3665550370096806</v>
      </c>
      <c r="W79">
        <f>$B$6*W78+$B$7*'Станд.норм.распр.'!D79</f>
        <v>-4.550843252298713</v>
      </c>
      <c r="X79">
        <f>$B$6*X78+$B$7*'Станд.норм.распр.'!E79</f>
        <v>-0.82513191766858873</v>
      </c>
      <c r="Y79">
        <f>$B$6*Y78+$B$7*'Станд.норм.распр.'!F79</f>
        <v>-6.0812061262381611</v>
      </c>
      <c r="Z79">
        <f>$B$6*Z78+$B$7*'Станд.норм.распр.'!G79</f>
        <v>-1.5855017736501664</v>
      </c>
      <c r="AA79">
        <f>$B$6*AA78+$B$7*'Станд.норм.распр.'!H79</f>
        <v>-0.51687149291409318</v>
      </c>
      <c r="AB79">
        <f>$B$6*AB78+$B$7*'Станд.норм.распр.'!I79</f>
        <v>2.8415751187670875</v>
      </c>
      <c r="AC79">
        <f>$B$6*AC78+$B$7*'Станд.норм.распр.'!J79</f>
        <v>6.3939309549061161</v>
      </c>
      <c r="AD79">
        <f>$B$6*AD78+$B$7*'Станд.норм.распр.'!K79</f>
        <v>-0.29187964231251051</v>
      </c>
    </row>
    <row r="80" spans="3:30" x14ac:dyDescent="0.3">
      <c r="C80" s="4" t="s">
        <v>88</v>
      </c>
      <c r="D80" s="4" t="s">
        <v>5</v>
      </c>
      <c r="E80" s="4">
        <v>314</v>
      </c>
      <c r="F80" s="4" t="s">
        <v>306</v>
      </c>
      <c r="G80" s="4" t="s">
        <v>5</v>
      </c>
      <c r="H80" s="2">
        <f t="shared" si="11"/>
        <v>3468.0276634317624</v>
      </c>
      <c r="I80" s="2">
        <f t="shared" si="12"/>
        <v>3467.05904350315</v>
      </c>
      <c r="J80" s="2">
        <f t="shared" si="13"/>
        <v>3465.8215555201641</v>
      </c>
      <c r="K80" s="2">
        <f t="shared" si="14"/>
        <v>3464.7507382562299</v>
      </c>
      <c r="L80" s="2">
        <f t="shared" si="15"/>
        <v>3466.5175479135441</v>
      </c>
      <c r="M80" s="2">
        <f t="shared" si="16"/>
        <v>3464.9648717360596</v>
      </c>
      <c r="N80" s="2">
        <f t="shared" si="17"/>
        <v>3465.0253173994365</v>
      </c>
      <c r="O80" s="2">
        <f t="shared" si="18"/>
        <v>3463.5716543282883</v>
      </c>
      <c r="P80" s="2">
        <f t="shared" si="19"/>
        <v>3471.476321322576</v>
      </c>
      <c r="Q80" s="2">
        <f t="shared" si="20"/>
        <v>3468.4616458406263</v>
      </c>
      <c r="S80">
        <v>78</v>
      </c>
      <c r="U80">
        <f>$B$6*U79+$B$7*'Станд.норм.распр.'!B80</f>
        <v>2.7663431762226409E-2</v>
      </c>
      <c r="V80">
        <f>$B$6*V79+$B$7*'Станд.норм.распр.'!C80</f>
        <v>-0.94095649685004634</v>
      </c>
      <c r="W80">
        <f>$B$6*W79+$B$7*'Станд.норм.распр.'!D80</f>
        <v>-2.1784444798360636</v>
      </c>
      <c r="X80">
        <f>$B$6*X79+$B$7*'Станд.норм.распр.'!E80</f>
        <v>-3.2492617437700222</v>
      </c>
      <c r="Y80">
        <f>$B$6*Y79+$B$7*'Станд.норм.распр.'!F80</f>
        <v>-1.4824520864556505</v>
      </c>
      <c r="Z80">
        <f>$B$6*Z79+$B$7*'Станд.норм.распр.'!G80</f>
        <v>-3.0351282639402735</v>
      </c>
      <c r="AA80">
        <f>$B$6*AA79+$B$7*'Станд.норм.распр.'!H80</f>
        <v>-2.9746826005634768</v>
      </c>
      <c r="AB80">
        <f>$B$6*AB79+$B$7*'Станд.норм.распр.'!I80</f>
        <v>-4.4283456717114946</v>
      </c>
      <c r="AC80">
        <f>$B$6*AC79+$B$7*'Станд.норм.распр.'!J80</f>
        <v>3.4763213225761218</v>
      </c>
      <c r="AD80">
        <f>$B$6*AD79+$B$7*'Станд.норм.распр.'!K80</f>
        <v>0.46164584062639502</v>
      </c>
    </row>
    <row r="81" spans="3:30" x14ac:dyDescent="0.3">
      <c r="C81" s="4" t="s">
        <v>89</v>
      </c>
      <c r="D81" s="4" t="s">
        <v>5</v>
      </c>
      <c r="E81" s="4">
        <v>911</v>
      </c>
      <c r="F81" s="4" t="s">
        <v>307</v>
      </c>
      <c r="G81" s="4" t="s">
        <v>5</v>
      </c>
      <c r="H81" s="2">
        <f t="shared" si="11"/>
        <v>10039.561571145834</v>
      </c>
      <c r="I81" s="2">
        <f t="shared" si="12"/>
        <v>10030.315930568942</v>
      </c>
      <c r="J81" s="2">
        <f t="shared" si="13"/>
        <v>10034.407020806737</v>
      </c>
      <c r="K81" s="2">
        <f t="shared" si="14"/>
        <v>10029.416461473082</v>
      </c>
      <c r="L81" s="2">
        <f t="shared" si="15"/>
        <v>10033.070498665274</v>
      </c>
      <c r="M81" s="2">
        <f t="shared" si="16"/>
        <v>10030.301951085825</v>
      </c>
      <c r="N81" s="2">
        <f t="shared" si="17"/>
        <v>10033.722472306206</v>
      </c>
      <c r="O81" s="2">
        <f t="shared" si="18"/>
        <v>10035.866231149366</v>
      </c>
      <c r="P81" s="2">
        <f t="shared" si="19"/>
        <v>10035.372479333264</v>
      </c>
      <c r="Q81" s="2">
        <f t="shared" si="20"/>
        <v>10034.943629504598</v>
      </c>
      <c r="S81">
        <v>79</v>
      </c>
      <c r="U81">
        <f>$B$6*U80+$B$7*'Станд.норм.распр.'!B81</f>
        <v>4.5615711458334331</v>
      </c>
      <c r="V81">
        <f>$B$6*V80+$B$7*'Станд.норм.распр.'!C81</f>
        <v>-4.6840694310585587</v>
      </c>
      <c r="W81">
        <f>$B$6*W80+$B$7*'Станд.норм.распр.'!D81</f>
        <v>-0.59297919326317783</v>
      </c>
      <c r="X81">
        <f>$B$6*X80+$B$7*'Станд.норм.распр.'!E81</f>
        <v>-5.5835385269178284</v>
      </c>
      <c r="Y81">
        <f>$B$6*Y80+$B$7*'Станд.норм.распр.'!F81</f>
        <v>-1.9295013347249459</v>
      </c>
      <c r="Z81">
        <f>$B$6*Z80+$B$7*'Станд.норм.распр.'!G81</f>
        <v>-4.6980489141760309</v>
      </c>
      <c r="AA81">
        <f>$B$6*AA80+$B$7*'Станд.норм.распр.'!H81</f>
        <v>-1.2775276937929871</v>
      </c>
      <c r="AB81">
        <f>$B$6*AB80+$B$7*'Станд.норм.распр.'!I81</f>
        <v>0.86623114936705425</v>
      </c>
      <c r="AC81">
        <f>$B$6*AC80+$B$7*'Станд.норм.распр.'!J81</f>
        <v>0.37247933326311289</v>
      </c>
      <c r="AD81">
        <f>$B$6*AD80+$B$7*'Станд.норм.распр.'!K81</f>
        <v>-5.6370495402394472E-2</v>
      </c>
    </row>
    <row r="82" spans="3:30" x14ac:dyDescent="0.3">
      <c r="C82" s="4" t="s">
        <v>90</v>
      </c>
      <c r="D82" s="4" t="s">
        <v>5</v>
      </c>
      <c r="E82" s="4">
        <v>273</v>
      </c>
      <c r="F82" s="4" t="s">
        <v>308</v>
      </c>
      <c r="G82" s="4" t="s">
        <v>5</v>
      </c>
      <c r="H82" s="2">
        <f t="shared" si="11"/>
        <v>3020.7734710148338</v>
      </c>
      <c r="I82" s="2">
        <f t="shared" si="12"/>
        <v>3006.4216540247912</v>
      </c>
      <c r="J82" s="2">
        <f t="shared" si="13"/>
        <v>3016.9395583845298</v>
      </c>
      <c r="K82" s="2">
        <f t="shared" si="14"/>
        <v>3016.0797593752718</v>
      </c>
      <c r="L82" s="2">
        <f t="shared" si="15"/>
        <v>3016.7283627393067</v>
      </c>
      <c r="M82" s="2">
        <f t="shared" si="16"/>
        <v>3009.0471330328851</v>
      </c>
      <c r="N82" s="2">
        <f t="shared" si="17"/>
        <v>3015.754117744224</v>
      </c>
      <c r="O82" s="2">
        <f t="shared" si="18"/>
        <v>3017.498411609929</v>
      </c>
      <c r="P82" s="2">
        <f t="shared" si="19"/>
        <v>3016.4298015544832</v>
      </c>
      <c r="Q82" s="2">
        <f t="shared" si="20"/>
        <v>3015.9377827287872</v>
      </c>
      <c r="S82">
        <v>80</v>
      </c>
      <c r="U82">
        <f>$B$6*U81+$B$7*'Станд.норм.распр.'!B82</f>
        <v>3.7734710148339907</v>
      </c>
      <c r="V82">
        <f>$B$6*V81+$B$7*'Станд.норм.распр.'!C82</f>
        <v>-10.578345975208777</v>
      </c>
      <c r="W82">
        <f>$B$6*W81+$B$7*'Станд.норм.распр.'!D82</f>
        <v>-6.0441615470197552E-2</v>
      </c>
      <c r="X82">
        <f>$B$6*X81+$B$7*'Станд.норм.распр.'!E82</f>
        <v>-0.92024062472839008</v>
      </c>
      <c r="Y82">
        <f>$B$6*Y81+$B$7*'Станд.норм.распр.'!F82</f>
        <v>-0.27163726069347371</v>
      </c>
      <c r="Z82">
        <f>$B$6*Z81+$B$7*'Станд.норм.распр.'!G82</f>
        <v>-7.952866967114895</v>
      </c>
      <c r="AA82">
        <f>$B$6*AA81+$B$7*'Станд.норм.распр.'!H82</f>
        <v>-1.245882255776108</v>
      </c>
      <c r="AB82">
        <f>$B$6*AB81+$B$7*'Станд.норм.распр.'!I82</f>
        <v>0.49841160992893729</v>
      </c>
      <c r="AC82">
        <f>$B$6*AC81+$B$7*'Станд.норм.распр.'!J82</f>
        <v>-0.57019844551676013</v>
      </c>
      <c r="AD82">
        <f>$B$6*AD81+$B$7*'Станд.норм.распр.'!K82</f>
        <v>-1.0622172712129971</v>
      </c>
    </row>
    <row r="83" spans="3:30" x14ac:dyDescent="0.3">
      <c r="C83" s="4" t="s">
        <v>91</v>
      </c>
      <c r="D83" s="4" t="s">
        <v>5</v>
      </c>
      <c r="E83" s="4">
        <v>403</v>
      </c>
      <c r="F83" s="4" t="s">
        <v>309</v>
      </c>
      <c r="G83" s="4" t="s">
        <v>5</v>
      </c>
      <c r="H83" s="2">
        <f t="shared" si="11"/>
        <v>4452.3019517772036</v>
      </c>
      <c r="I83" s="2">
        <f t="shared" si="12"/>
        <v>4442.8281890019953</v>
      </c>
      <c r="J83" s="2">
        <f t="shared" si="13"/>
        <v>4450.7530065769661</v>
      </c>
      <c r="K83" s="2">
        <f t="shared" si="14"/>
        <v>4440.6264633710198</v>
      </c>
      <c r="L83" s="2">
        <f t="shared" si="15"/>
        <v>4450.2829037415149</v>
      </c>
      <c r="M83" s="2">
        <f t="shared" si="16"/>
        <v>4442.8703109748521</v>
      </c>
      <c r="N83" s="2">
        <f t="shared" si="17"/>
        <v>4449.3292582104359</v>
      </c>
      <c r="O83" s="2">
        <f t="shared" si="18"/>
        <v>4448.3361213225544</v>
      </c>
      <c r="P83" s="2">
        <f t="shared" si="19"/>
        <v>4448.2262991787602</v>
      </c>
      <c r="Q83" s="2">
        <f t="shared" si="20"/>
        <v>4445.2017059327209</v>
      </c>
      <c r="S83">
        <v>81</v>
      </c>
      <c r="U83">
        <f>$B$6*U82+$B$7*'Станд.норм.распр.'!B83</f>
        <v>5.301951777203465</v>
      </c>
      <c r="V83">
        <f>$B$6*V82+$B$7*'Станд.норм.распр.'!C83</f>
        <v>-4.1718109980045028</v>
      </c>
      <c r="W83">
        <f>$B$6*W82+$B$7*'Станд.норм.распр.'!D83</f>
        <v>3.7530065769665053</v>
      </c>
      <c r="X83">
        <f>$B$6*X82+$B$7*'Станд.норм.распр.'!E83</f>
        <v>-6.3735366289805437</v>
      </c>
      <c r="Y83">
        <f>$B$6*Y82+$B$7*'Станд.норм.распр.'!F83</f>
        <v>3.2829037415150673</v>
      </c>
      <c r="Z83">
        <f>$B$6*Z82+$B$7*'Станд.норм.распр.'!G83</f>
        <v>-4.129689025148072</v>
      </c>
      <c r="AA83">
        <f>$B$6*AA82+$B$7*'Станд.норм.распр.'!H83</f>
        <v>2.3292582104360813</v>
      </c>
      <c r="AB83">
        <f>$B$6*AB82+$B$7*'Станд.норм.распр.'!I83</f>
        <v>1.3361213225541282</v>
      </c>
      <c r="AC83">
        <f>$B$6*AC82+$B$7*'Станд.норм.распр.'!J83</f>
        <v>1.2262991787604398</v>
      </c>
      <c r="AD83">
        <f>$B$6*AD82+$B$7*'Станд.норм.распр.'!K83</f>
        <v>-1.7982940672787486</v>
      </c>
    </row>
    <row r="84" spans="3:30" x14ac:dyDescent="0.3">
      <c r="C84" s="4" t="s">
        <v>92</v>
      </c>
      <c r="D84" s="4" t="s">
        <v>5</v>
      </c>
      <c r="E84" s="4">
        <v>692</v>
      </c>
      <c r="F84" s="4" t="s">
        <v>310</v>
      </c>
      <c r="G84" s="4" t="s">
        <v>5</v>
      </c>
      <c r="H84" s="2">
        <f t="shared" si="11"/>
        <v>7628.5089787545503</v>
      </c>
      <c r="I84" s="2">
        <f t="shared" si="12"/>
        <v>7625.925983183316</v>
      </c>
      <c r="J84" s="2">
        <f t="shared" si="13"/>
        <v>7628.7347957122829</v>
      </c>
      <c r="K84" s="2">
        <f t="shared" si="14"/>
        <v>7624.8231081108006</v>
      </c>
      <c r="L84" s="2">
        <f t="shared" si="15"/>
        <v>7624.3463366500773</v>
      </c>
      <c r="M84" s="2">
        <f t="shared" si="16"/>
        <v>7621.8825646434661</v>
      </c>
      <c r="N84" s="2">
        <f t="shared" si="17"/>
        <v>7624.3600680418331</v>
      </c>
      <c r="O84" s="2">
        <f t="shared" si="18"/>
        <v>7630.5781557356659</v>
      </c>
      <c r="P84" s="2">
        <f t="shared" si="19"/>
        <v>7625.2403332754202</v>
      </c>
      <c r="Q84" s="2">
        <f t="shared" si="20"/>
        <v>7624.1443010087178</v>
      </c>
      <c r="S84">
        <v>82</v>
      </c>
      <c r="U84">
        <f>$B$6*U83+$B$7*'Станд.норм.распр.'!B84</f>
        <v>2.5089787545506796</v>
      </c>
      <c r="V84">
        <f>$B$6*V83+$B$7*'Станд.норм.распр.'!C84</f>
        <v>-7.4016816683865727E-2</v>
      </c>
      <c r="W84">
        <f>$B$6*W83+$B$7*'Станд.норм.распр.'!D84</f>
        <v>2.7347957122831197</v>
      </c>
      <c r="X84">
        <f>$B$6*X83+$B$7*'Станд.норм.распр.'!E84</f>
        <v>-1.1768918891995588</v>
      </c>
      <c r="Y84">
        <f>$B$6*Y83+$B$7*'Станд.норм.распр.'!F84</f>
        <v>-1.6536633499230664</v>
      </c>
      <c r="Z84">
        <f>$B$6*Z83+$B$7*'Станд.норм.распр.'!G84</f>
        <v>-4.1174353565335142</v>
      </c>
      <c r="AA84">
        <f>$B$6*AA83+$B$7*'Станд.норм.распр.'!H84</f>
        <v>-1.6399319581672951</v>
      </c>
      <c r="AB84">
        <f>$B$6*AB83+$B$7*'Станд.норм.распр.'!I84</f>
        <v>4.5781557356657281</v>
      </c>
      <c r="AC84">
        <f>$B$6*AC83+$B$7*'Станд.норм.распр.'!J84</f>
        <v>-0.75966672458013673</v>
      </c>
      <c r="AD84">
        <f>$B$6*AD83+$B$7*'Станд.норм.распр.'!K84</f>
        <v>-1.8556989912820339</v>
      </c>
    </row>
    <row r="85" spans="3:30" x14ac:dyDescent="0.3">
      <c r="C85" s="4" t="s">
        <v>93</v>
      </c>
      <c r="D85" s="4" t="s">
        <v>5</v>
      </c>
      <c r="E85" s="4">
        <v>429</v>
      </c>
      <c r="F85" s="4" t="s">
        <v>311</v>
      </c>
      <c r="G85" s="4" t="s">
        <v>5</v>
      </c>
      <c r="H85" s="2">
        <f t="shared" si="11"/>
        <v>4736.4297528666102</v>
      </c>
      <c r="I85" s="2">
        <f t="shared" si="12"/>
        <v>4728.2543374317456</v>
      </c>
      <c r="J85" s="2">
        <f t="shared" si="13"/>
        <v>4736.2848673459957</v>
      </c>
      <c r="K85" s="2">
        <f t="shared" si="14"/>
        <v>4733.1481083396311</v>
      </c>
      <c r="L85" s="2">
        <f t="shared" si="15"/>
        <v>4727.0826082449039</v>
      </c>
      <c r="M85" s="2">
        <f t="shared" si="16"/>
        <v>4733.3963177500173</v>
      </c>
      <c r="N85" s="2">
        <f t="shared" si="17"/>
        <v>4730.427494574019</v>
      </c>
      <c r="O85" s="2">
        <f t="shared" si="18"/>
        <v>4736.1511969905905</v>
      </c>
      <c r="P85" s="2">
        <f t="shared" si="19"/>
        <v>4735.9443879625842</v>
      </c>
      <c r="Q85" s="2">
        <f t="shared" si="20"/>
        <v>4732.6476798885096</v>
      </c>
      <c r="S85">
        <v>83</v>
      </c>
      <c r="U85">
        <f>$B$6*U84+$B$7*'Станд.норм.распр.'!B85</f>
        <v>3.429752866609951</v>
      </c>
      <c r="V85">
        <f>$B$6*V84+$B$7*'Станд.норм.распр.'!C85</f>
        <v>-4.7456625682547724</v>
      </c>
      <c r="W85">
        <f>$B$6*W84+$B$7*'Станд.норм.распр.'!D85</f>
        <v>3.284867345995389</v>
      </c>
      <c r="X85">
        <f>$B$6*X84+$B$7*'Станд.норм.распр.'!E85</f>
        <v>0.14810833963102654</v>
      </c>
      <c r="Y85">
        <f>$B$6*Y84+$B$7*'Станд.норм.распр.'!F85</f>
        <v>-5.917391755095843</v>
      </c>
      <c r="Z85">
        <f>$B$6*Z84+$B$7*'Станд.норм.распр.'!G85</f>
        <v>0.396317750016979</v>
      </c>
      <c r="AA85">
        <f>$B$6*AA84+$B$7*'Станд.норм.распр.'!H85</f>
        <v>-2.5725054259812197</v>
      </c>
      <c r="AB85">
        <f>$B$6*AB84+$B$7*'Станд.норм.распр.'!I85</f>
        <v>3.1511969905904404</v>
      </c>
      <c r="AC85">
        <f>$B$6*AC84+$B$7*'Станд.норм.распр.'!J85</f>
        <v>2.9443879625840199</v>
      </c>
      <c r="AD85">
        <f>$B$6*AD84+$B$7*'Станд.норм.распр.'!K85</f>
        <v>-0.35232011149073073</v>
      </c>
    </row>
    <row r="86" spans="3:30" x14ac:dyDescent="0.3">
      <c r="C86" s="4" t="s">
        <v>94</v>
      </c>
      <c r="D86" s="4" t="s">
        <v>5</v>
      </c>
      <c r="E86" s="4">
        <v>902</v>
      </c>
      <c r="F86" s="4" t="s">
        <v>312</v>
      </c>
      <c r="G86" s="4" t="s">
        <v>5</v>
      </c>
      <c r="H86" s="2">
        <f t="shared" si="11"/>
        <v>9936.6321252645812</v>
      </c>
      <c r="I86" s="2">
        <f t="shared" si="12"/>
        <v>9934.6857045881625</v>
      </c>
      <c r="J86" s="2">
        <f t="shared" si="13"/>
        <v>9941.6799898823665</v>
      </c>
      <c r="K86" s="2">
        <f t="shared" si="14"/>
        <v>9931.3779510367876</v>
      </c>
      <c r="L86" s="2">
        <f t="shared" si="15"/>
        <v>9934.2736444322509</v>
      </c>
      <c r="M86" s="2">
        <f t="shared" si="16"/>
        <v>9936.5144140570501</v>
      </c>
      <c r="N86" s="2">
        <f t="shared" si="17"/>
        <v>9934.3351087265037</v>
      </c>
      <c r="O86" s="2">
        <f t="shared" si="18"/>
        <v>9932.9628369092643</v>
      </c>
      <c r="P86" s="2">
        <f t="shared" si="19"/>
        <v>9937.9133762187012</v>
      </c>
      <c r="Q86" s="2">
        <f t="shared" si="20"/>
        <v>9935.0697687920674</v>
      </c>
      <c r="S86">
        <v>84</v>
      </c>
      <c r="U86">
        <f>$B$6*U85+$B$7*'Станд.норм.распр.'!B86</f>
        <v>0.63212526458105889</v>
      </c>
      <c r="V86">
        <f>$B$6*V85+$B$7*'Станд.норм.распр.'!C86</f>
        <v>-1.3142954118381738</v>
      </c>
      <c r="W86">
        <f>$B$6*W85+$B$7*'Станд.норм.распр.'!D86</f>
        <v>5.6799898823663257</v>
      </c>
      <c r="X86">
        <f>$B$6*X85+$B$7*'Станд.норм.распр.'!E86</f>
        <v>-4.6220489632128601</v>
      </c>
      <c r="Y86">
        <f>$B$6*Y85+$B$7*'Станд.норм.распр.'!F86</f>
        <v>-1.7263555677499025</v>
      </c>
      <c r="Z86">
        <f>$B$6*Z85+$B$7*'Станд.норм.распр.'!G86</f>
        <v>0.51441405705085819</v>
      </c>
      <c r="AA86">
        <f>$B$6*AA85+$B$7*'Станд.норм.распр.'!H86</f>
        <v>-1.6648912734959609</v>
      </c>
      <c r="AB86">
        <f>$B$6*AB85+$B$7*'Станд.норм.распр.'!I86</f>
        <v>-3.0371630907361906</v>
      </c>
      <c r="AC86">
        <f>$B$6*AC85+$B$7*'Станд.норм.распр.'!J86</f>
        <v>1.9133762187015309</v>
      </c>
      <c r="AD86">
        <f>$B$6*AD85+$B$7*'Станд.норм.распр.'!K86</f>
        <v>-0.93023120793231784</v>
      </c>
    </row>
    <row r="87" spans="3:30" x14ac:dyDescent="0.3">
      <c r="C87" s="4" t="s">
        <v>95</v>
      </c>
      <c r="D87" s="4" t="s">
        <v>5</v>
      </c>
      <c r="E87" s="4">
        <v>283</v>
      </c>
      <c r="F87" s="4" t="s">
        <v>313</v>
      </c>
      <c r="G87" s="4" t="s">
        <v>5</v>
      </c>
      <c r="H87" s="2">
        <f t="shared" si="11"/>
        <v>3126.5636490341976</v>
      </c>
      <c r="I87" s="2">
        <f t="shared" si="12"/>
        <v>3128.547174139137</v>
      </c>
      <c r="J87" s="2">
        <f t="shared" si="13"/>
        <v>3126.3145615559624</v>
      </c>
      <c r="K87" s="2">
        <f t="shared" si="14"/>
        <v>3129.4229636532241</v>
      </c>
      <c r="L87" s="2">
        <f t="shared" si="15"/>
        <v>3126.4005758918643</v>
      </c>
      <c r="M87" s="2">
        <f t="shared" si="16"/>
        <v>3130.1544069484967</v>
      </c>
      <c r="N87" s="2">
        <f t="shared" si="17"/>
        <v>3126.0211916546323</v>
      </c>
      <c r="O87" s="2">
        <f t="shared" si="18"/>
        <v>3123.7897651305443</v>
      </c>
      <c r="P87" s="2">
        <f t="shared" si="19"/>
        <v>3129.1328080041585</v>
      </c>
      <c r="Q87" s="2">
        <f t="shared" si="20"/>
        <v>3126.1680758756365</v>
      </c>
      <c r="S87">
        <v>85</v>
      </c>
      <c r="U87">
        <f>$B$6*U86+$B$7*'Станд.норм.распр.'!B87</f>
        <v>-0.43635096580244193</v>
      </c>
      <c r="V87">
        <f>$B$6*V86+$B$7*'Станд.норм.распр.'!C87</f>
        <v>1.5471741391371694</v>
      </c>
      <c r="W87">
        <f>$B$6*W86+$B$7*'Станд.норм.распр.'!D87</f>
        <v>-0.68543844403765908</v>
      </c>
      <c r="X87">
        <f>$B$6*X86+$B$7*'Станд.норм.распр.'!E87</f>
        <v>2.4229636532242944</v>
      </c>
      <c r="Y87">
        <f>$B$6*Y86+$B$7*'Станд.норм.распр.'!F87</f>
        <v>-0.59942410813568126</v>
      </c>
      <c r="Z87">
        <f>$B$6*Z86+$B$7*'Станд.норм.распр.'!G87</f>
        <v>3.1544069484966011</v>
      </c>
      <c r="AA87">
        <f>$B$6*AA86+$B$7*'Станд.норм.распр.'!H87</f>
        <v>-0.97880834536754335</v>
      </c>
      <c r="AB87">
        <f>$B$6*AB86+$B$7*'Станд.норм.распр.'!I87</f>
        <v>-3.2102348694554785</v>
      </c>
      <c r="AC87">
        <f>$B$6*AC86+$B$7*'Станд.норм.распр.'!J87</f>
        <v>2.132808004158691</v>
      </c>
      <c r="AD87">
        <f>$B$6*AD86+$B$7*'Станд.норм.распр.'!K87</f>
        <v>-0.83192412436330887</v>
      </c>
    </row>
    <row r="88" spans="3:30" x14ac:dyDescent="0.3">
      <c r="C88" s="4" t="s">
        <v>96</v>
      </c>
      <c r="D88" s="4" t="s">
        <v>5</v>
      </c>
      <c r="E88" s="4">
        <v>677</v>
      </c>
      <c r="F88" s="4" t="s">
        <v>314</v>
      </c>
      <c r="G88" s="4" t="s">
        <v>5</v>
      </c>
      <c r="H88" s="2">
        <f t="shared" si="11"/>
        <v>7463.5206222923352</v>
      </c>
      <c r="I88" s="2">
        <f t="shared" si="12"/>
        <v>7457.6562704485914</v>
      </c>
      <c r="J88" s="2">
        <f t="shared" si="13"/>
        <v>7462.1098370399195</v>
      </c>
      <c r="K88" s="2">
        <f t="shared" si="14"/>
        <v>7461.5530484836772</v>
      </c>
      <c r="L88" s="2">
        <f t="shared" si="15"/>
        <v>7460.3295142408606</v>
      </c>
      <c r="M88" s="2">
        <f t="shared" si="16"/>
        <v>7464.5842081700184</v>
      </c>
      <c r="N88" s="2">
        <f t="shared" si="17"/>
        <v>7458.7884516933518</v>
      </c>
      <c r="O88" s="2">
        <f t="shared" si="18"/>
        <v>7459.3392283107341</v>
      </c>
      <c r="P88" s="2">
        <f t="shared" si="19"/>
        <v>7467.5270283814179</v>
      </c>
      <c r="Q88" s="2">
        <f t="shared" si="20"/>
        <v>7458.7825426648615</v>
      </c>
      <c r="S88">
        <v>86</v>
      </c>
      <c r="U88">
        <f>$B$6*U87+$B$7*'Станд.норм.распр.'!B88</f>
        <v>2.5206222923356689</v>
      </c>
      <c r="V88">
        <f>$B$6*V87+$B$7*'Станд.норм.распр.'!C88</f>
        <v>-3.3437295514087779</v>
      </c>
      <c r="W88">
        <f>$B$6*W87+$B$7*'Станд.норм.распр.'!D88</f>
        <v>1.1098370399194686</v>
      </c>
      <c r="X88">
        <f>$B$6*X87+$B$7*'Станд.норм.распр.'!E88</f>
        <v>0.55304848367754722</v>
      </c>
      <c r="Y88">
        <f>$B$6*Y87+$B$7*'Станд.норм.распр.'!F88</f>
        <v>-0.67048575913961028</v>
      </c>
      <c r="Z88">
        <f>$B$6*Z87+$B$7*'Станд.норм.распр.'!G88</f>
        <v>3.5842081700181656</v>
      </c>
      <c r="AA88">
        <f>$B$6*AA87+$B$7*'Станд.норм.распр.'!H88</f>
        <v>-2.2115483066480923</v>
      </c>
      <c r="AB88">
        <f>$B$6*AB87+$B$7*'Станд.норм.распр.'!I88</f>
        <v>-1.6607716892659792</v>
      </c>
      <c r="AC88">
        <f>$B$6*AC87+$B$7*'Станд.норм.распр.'!J88</f>
        <v>6.5270283814180416</v>
      </c>
      <c r="AD88">
        <f>$B$6*AD87+$B$7*'Станд.норм.распр.'!K88</f>
        <v>-2.2174573351389086</v>
      </c>
    </row>
    <row r="89" spans="3:30" x14ac:dyDescent="0.3">
      <c r="C89" s="4" t="s">
        <v>97</v>
      </c>
      <c r="D89" s="4" t="s">
        <v>5</v>
      </c>
      <c r="E89" s="4">
        <v>316</v>
      </c>
      <c r="F89" s="4" t="s">
        <v>315</v>
      </c>
      <c r="G89" s="4" t="s">
        <v>5</v>
      </c>
      <c r="H89" s="2">
        <f t="shared" si="11"/>
        <v>3490.5325016534944</v>
      </c>
      <c r="I89" s="2">
        <f t="shared" si="12"/>
        <v>3488.7535502341816</v>
      </c>
      <c r="J89" s="2">
        <f t="shared" si="13"/>
        <v>3493.0402333006023</v>
      </c>
      <c r="K89" s="2">
        <f t="shared" si="14"/>
        <v>3492.3845715252387</v>
      </c>
      <c r="L89" s="2">
        <f t="shared" si="15"/>
        <v>3489.1827021911231</v>
      </c>
      <c r="M89" s="2">
        <f t="shared" si="16"/>
        <v>3496.5631177491491</v>
      </c>
      <c r="N89" s="2">
        <f t="shared" si="17"/>
        <v>3485.5763618897672</v>
      </c>
      <c r="O89" s="2">
        <f t="shared" si="18"/>
        <v>3494.3112514579529</v>
      </c>
      <c r="P89" s="2">
        <f t="shared" si="19"/>
        <v>3492.6108812563475</v>
      </c>
      <c r="Q89" s="2">
        <f t="shared" si="20"/>
        <v>3489.3159905788698</v>
      </c>
      <c r="S89">
        <v>87</v>
      </c>
      <c r="U89">
        <f>$B$6*U88+$B$7*'Станд.норм.распр.'!B89</f>
        <v>0.53250165349457523</v>
      </c>
      <c r="V89">
        <f>$B$6*V88+$B$7*'Станд.норм.распр.'!C89</f>
        <v>-1.246449765818479</v>
      </c>
      <c r="W89">
        <f>$B$6*W88+$B$7*'Станд.норм.распр.'!D89</f>
        <v>3.0402333006022455</v>
      </c>
      <c r="X89">
        <f>$B$6*X88+$B$7*'Станд.норм.распр.'!E89</f>
        <v>2.3845715252388566</v>
      </c>
      <c r="Y89">
        <f>$B$6*Y88+$B$7*'Станд.норм.распр.'!F89</f>
        <v>-0.81729780887700143</v>
      </c>
      <c r="Z89">
        <f>$B$6*Z88+$B$7*'Станд.норм.распр.'!G89</f>
        <v>6.5631177491489829</v>
      </c>
      <c r="AA89">
        <f>$B$6*AA88+$B$7*'Станд.норм.распр.'!H89</f>
        <v>-4.4236381102327416</v>
      </c>
      <c r="AB89">
        <f>$B$6*AB88+$B$7*'Станд.норм.распр.'!I89</f>
        <v>4.3112514579528876</v>
      </c>
      <c r="AC89">
        <f>$B$6*AC88+$B$7*'Станд.норм.распр.'!J89</f>
        <v>2.6108812563475574</v>
      </c>
      <c r="AD89">
        <f>$B$6*AD88+$B$7*'Станд.норм.распр.'!K89</f>
        <v>-0.68400942113040064</v>
      </c>
    </row>
    <row r="90" spans="3:30" x14ac:dyDescent="0.3">
      <c r="C90" s="4" t="s">
        <v>98</v>
      </c>
      <c r="D90" s="4" t="s">
        <v>5</v>
      </c>
      <c r="E90" s="4">
        <v>305</v>
      </c>
      <c r="F90" s="4" t="s">
        <v>316</v>
      </c>
      <c r="G90" s="4" t="s">
        <v>5</v>
      </c>
      <c r="H90" s="2">
        <f t="shared" si="11"/>
        <v>3366.8823776745353</v>
      </c>
      <c r="I90" s="2">
        <f t="shared" si="12"/>
        <v>3370.3318362967057</v>
      </c>
      <c r="J90" s="2">
        <f t="shared" si="13"/>
        <v>3369.5749083653263</v>
      </c>
      <c r="K90" s="2">
        <f t="shared" si="14"/>
        <v>3369.384608780485</v>
      </c>
      <c r="L90" s="2">
        <f t="shared" si="15"/>
        <v>3370.154844110617</v>
      </c>
      <c r="M90" s="2">
        <f t="shared" si="16"/>
        <v>3368.6390053091327</v>
      </c>
      <c r="N90" s="2">
        <f t="shared" si="17"/>
        <v>3366.6034352861125</v>
      </c>
      <c r="O90" s="2">
        <f t="shared" si="18"/>
        <v>3372.3588087755038</v>
      </c>
      <c r="P90" s="2">
        <f t="shared" si="19"/>
        <v>3373.9212823342245</v>
      </c>
      <c r="Q90" s="2">
        <f t="shared" si="20"/>
        <v>3373.2403206352715</v>
      </c>
      <c r="S90">
        <v>88</v>
      </c>
      <c r="U90">
        <f>$B$6*U89+$B$7*'Станд.норм.распр.'!B90</f>
        <v>-2.1176223254646027</v>
      </c>
      <c r="V90">
        <f>$B$6*V89+$B$7*'Станд.норм.распр.'!C90</f>
        <v>1.3318362967056192</v>
      </c>
      <c r="W90">
        <f>$B$6*W89+$B$7*'Станд.норм.распр.'!D90</f>
        <v>0.57490836532632605</v>
      </c>
      <c r="X90">
        <f>$B$6*X89+$B$7*'Станд.норм.распр.'!E90</f>
        <v>0.38460878048486835</v>
      </c>
      <c r="Y90">
        <f>$B$6*Y89+$B$7*'Станд.норм.распр.'!F90</f>
        <v>1.1548441106169276</v>
      </c>
      <c r="Z90">
        <f>$B$6*Z89+$B$7*'Станд.норм.распр.'!G90</f>
        <v>-0.36099469086713931</v>
      </c>
      <c r="AA90">
        <f>$B$6*AA89+$B$7*'Станд.норм.распр.'!H90</f>
        <v>-2.3965647138875057</v>
      </c>
      <c r="AB90">
        <f>$B$6*AB89+$B$7*'Станд.норм.распр.'!I90</f>
        <v>3.3588087755039999</v>
      </c>
      <c r="AC90">
        <f>$B$6*AC89+$B$7*'Станд.норм.распр.'!J90</f>
        <v>4.9212823342243386</v>
      </c>
      <c r="AD90">
        <f>$B$6*AD89+$B$7*'Станд.норм.распр.'!K90</f>
        <v>4.2403206352713791</v>
      </c>
    </row>
    <row r="91" spans="3:30" x14ac:dyDescent="0.3">
      <c r="C91" s="4" t="s">
        <v>99</v>
      </c>
      <c r="D91" s="4" t="s">
        <v>5</v>
      </c>
      <c r="E91" s="4">
        <v>970</v>
      </c>
      <c r="F91" s="4" t="s">
        <v>317</v>
      </c>
      <c r="G91" s="4" t="s">
        <v>5</v>
      </c>
      <c r="H91" s="2">
        <f t="shared" si="11"/>
        <v>10681.736760919866</v>
      </c>
      <c r="I91" s="2">
        <f t="shared" si="12"/>
        <v>10683.089004402103</v>
      </c>
      <c r="J91" s="2">
        <f t="shared" si="13"/>
        <v>10683.494710178888</v>
      </c>
      <c r="K91" s="2">
        <f t="shared" si="14"/>
        <v>10681.665673539035</v>
      </c>
      <c r="L91" s="2">
        <f t="shared" si="15"/>
        <v>10685.035548179012</v>
      </c>
      <c r="M91" s="2">
        <f t="shared" si="16"/>
        <v>10679.894332705497</v>
      </c>
      <c r="N91" s="2">
        <f t="shared" si="17"/>
        <v>10680.798730640132</v>
      </c>
      <c r="O91" s="2">
        <f t="shared" si="18"/>
        <v>10687.85914941223</v>
      </c>
      <c r="P91" s="2">
        <f t="shared" si="19"/>
        <v>10687.061200982323</v>
      </c>
      <c r="Q91" s="2">
        <f t="shared" si="20"/>
        <v>10685.74383414741</v>
      </c>
      <c r="S91">
        <v>89</v>
      </c>
      <c r="U91">
        <f>$B$6*U90+$B$7*'Станд.норм.распр.'!B91</f>
        <v>-2.2632390801329092</v>
      </c>
      <c r="V91">
        <f>$B$6*V90+$B$7*'Станд.норм.распр.'!C91</f>
        <v>-0.91099559789565543</v>
      </c>
      <c r="W91">
        <f>$B$6*W90+$B$7*'Станд.норм.распр.'!D91</f>
        <v>-0.50528982111155163</v>
      </c>
      <c r="X91">
        <f>$B$6*X90+$B$7*'Станд.норм.распр.'!E91</f>
        <v>-2.3343264609648671</v>
      </c>
      <c r="Y91">
        <f>$B$6*Y90+$B$7*'Станд.норм.распр.'!F91</f>
        <v>1.0355481790120145</v>
      </c>
      <c r="Z91">
        <f>$B$6*Z90+$B$7*'Станд.норм.распр.'!G91</f>
        <v>-4.1056672945041202</v>
      </c>
      <c r="AA91">
        <f>$B$6*AA90+$B$7*'Станд.норм.распр.'!H91</f>
        <v>-3.2012693598685358</v>
      </c>
      <c r="AB91">
        <f>$B$6*AB90+$B$7*'Станд.норм.распр.'!I91</f>
        <v>3.8591494122295975</v>
      </c>
      <c r="AC91">
        <f>$B$6*AC90+$B$7*'Станд.норм.распр.'!J91</f>
        <v>3.0612009823236237</v>
      </c>
      <c r="AD91">
        <f>$B$6*AD90+$B$7*'Станд.норм.распр.'!K91</f>
        <v>1.7438341474095962</v>
      </c>
    </row>
    <row r="92" spans="3:30" x14ac:dyDescent="0.3">
      <c r="C92" s="4" t="s">
        <v>100</v>
      </c>
      <c r="D92" s="4" t="s">
        <v>5</v>
      </c>
      <c r="E92" s="4">
        <v>362</v>
      </c>
      <c r="F92" s="4" t="s">
        <v>318</v>
      </c>
      <c r="G92" s="4" t="s">
        <v>5</v>
      </c>
      <c r="H92" s="2">
        <f t="shared" si="11"/>
        <v>3989.1544436162571</v>
      </c>
      <c r="I92" s="2">
        <f t="shared" si="12"/>
        <v>3989.854303169092</v>
      </c>
      <c r="J92" s="2">
        <f t="shared" si="13"/>
        <v>3991.4782733613188</v>
      </c>
      <c r="K92" s="2">
        <f t="shared" si="14"/>
        <v>3996.3860877373627</v>
      </c>
      <c r="L92" s="2">
        <f t="shared" si="15"/>
        <v>3997.333116762883</v>
      </c>
      <c r="M92" s="2">
        <f t="shared" si="16"/>
        <v>3998.1012834030957</v>
      </c>
      <c r="N92" s="2">
        <f t="shared" si="17"/>
        <v>3997.8890941109189</v>
      </c>
      <c r="O92" s="2">
        <f t="shared" si="18"/>
        <v>4001.2537960309887</v>
      </c>
      <c r="P92" s="2">
        <f t="shared" si="19"/>
        <v>3998.5610309156546</v>
      </c>
      <c r="Q92" s="2">
        <f t="shared" si="20"/>
        <v>3996.4189000364886</v>
      </c>
      <c r="S92">
        <v>90</v>
      </c>
      <c r="U92">
        <f>$B$6*U91+$B$7*'Станд.норм.распр.'!B92</f>
        <v>-6.8455563837429469</v>
      </c>
      <c r="V92">
        <f>$B$6*V91+$B$7*'Станд.норм.распр.'!C92</f>
        <v>-6.1456968309080473</v>
      </c>
      <c r="W92">
        <f>$B$6*W91+$B$7*'Станд.норм.распр.'!D92</f>
        <v>-4.5217266386812325</v>
      </c>
      <c r="X92">
        <f>$B$6*X91+$B$7*'Станд.норм.распр.'!E92</f>
        <v>0.38608773736265434</v>
      </c>
      <c r="Y92">
        <f>$B$6*Y91+$B$7*'Станд.норм.распр.'!F92</f>
        <v>1.3331167628830247</v>
      </c>
      <c r="Z92">
        <f>$B$6*Z91+$B$7*'Станд.норм.распр.'!G92</f>
        <v>2.1012834030957896</v>
      </c>
      <c r="AA92">
        <f>$B$6*AA91+$B$7*'Станд.норм.распр.'!H92</f>
        <v>1.8890941109191122</v>
      </c>
      <c r="AB92">
        <f>$B$6*AB91+$B$7*'Станд.норм.распр.'!I92</f>
        <v>5.2537960309888874</v>
      </c>
      <c r="AC92">
        <f>$B$6*AC91+$B$7*'Станд.норм.распр.'!J92</f>
        <v>2.5610309156545918</v>
      </c>
      <c r="AD92">
        <f>$B$6*AD91+$B$7*'Станд.норм.распр.'!K92</f>
        <v>0.41890003648845697</v>
      </c>
    </row>
    <row r="93" spans="3:30" x14ac:dyDescent="0.3">
      <c r="C93" s="4" t="s">
        <v>101</v>
      </c>
      <c r="D93" s="4" t="s">
        <v>5</v>
      </c>
      <c r="E93" s="4">
        <v>836</v>
      </c>
      <c r="F93" s="4" t="s">
        <v>319</v>
      </c>
      <c r="G93" s="4" t="s">
        <v>5</v>
      </c>
      <c r="H93" s="2">
        <f t="shared" si="11"/>
        <v>9213.8470494280227</v>
      </c>
      <c r="I93" s="2">
        <f t="shared" si="12"/>
        <v>9210.7405628246634</v>
      </c>
      <c r="J93" s="2">
        <f t="shared" si="13"/>
        <v>9202.7690108581774</v>
      </c>
      <c r="K93" s="2">
        <f t="shared" si="14"/>
        <v>9212.8408398777956</v>
      </c>
      <c r="L93" s="2">
        <f t="shared" si="15"/>
        <v>9209.3278037809305</v>
      </c>
      <c r="M93" s="2">
        <f t="shared" si="16"/>
        <v>9215.6844808272926</v>
      </c>
      <c r="N93" s="2">
        <f t="shared" si="17"/>
        <v>9206.5377314496982</v>
      </c>
      <c r="O93" s="2">
        <f t="shared" si="18"/>
        <v>9216.4679873470104</v>
      </c>
      <c r="P93" s="2">
        <f t="shared" si="19"/>
        <v>9209.9112666368346</v>
      </c>
      <c r="Q93" s="2">
        <f t="shared" si="20"/>
        <v>9214.0321381043195</v>
      </c>
      <c r="S93">
        <v>91</v>
      </c>
      <c r="U93">
        <f>$B$6*U92+$B$7*'Станд.норм.распр.'!B93</f>
        <v>3.8470494280220029</v>
      </c>
      <c r="V93">
        <f>$B$6*V92+$B$7*'Станд.норм.распр.'!C93</f>
        <v>0.74056282466266943</v>
      </c>
      <c r="W93">
        <f>$B$6*W92+$B$7*'Станд.норм.распр.'!D93</f>
        <v>-7.2309891418219561</v>
      </c>
      <c r="X93">
        <f>$B$6*X92+$B$7*'Станд.норм.распр.'!E93</f>
        <v>2.8408398777955721</v>
      </c>
      <c r="Y93">
        <f>$B$6*Y92+$B$7*'Станд.норм.распр.'!F93</f>
        <v>-0.6721962190690709</v>
      </c>
      <c r="Z93">
        <f>$B$6*Z92+$B$7*'Станд.норм.распр.'!G93</f>
        <v>5.6844808272928935</v>
      </c>
      <c r="AA93">
        <f>$B$6*AA92+$B$7*'Станд.норм.распр.'!H93</f>
        <v>-3.4622685503023929</v>
      </c>
      <c r="AB93">
        <f>$B$6*AB92+$B$7*'Станд.норм.распр.'!I93</f>
        <v>6.4679873470102534</v>
      </c>
      <c r="AC93">
        <f>$B$6*AC92+$B$7*'Станд.норм.распр.'!J93</f>
        <v>-8.8733363165356405E-2</v>
      </c>
      <c r="AD93">
        <f>$B$6*AD92+$B$7*'Станд.норм.распр.'!K93</f>
        <v>4.0321381043190057</v>
      </c>
    </row>
    <row r="94" spans="3:30" x14ac:dyDescent="0.3">
      <c r="C94" s="4" t="s">
        <v>102</v>
      </c>
      <c r="D94" s="4" t="s">
        <v>5</v>
      </c>
      <c r="E94" s="4">
        <v>66</v>
      </c>
      <c r="F94" s="4" t="s">
        <v>320</v>
      </c>
      <c r="G94" s="4" t="s">
        <v>5</v>
      </c>
      <c r="H94" s="2">
        <f t="shared" si="11"/>
        <v>744.58932189701011</v>
      </c>
      <c r="I94" s="2">
        <f t="shared" si="12"/>
        <v>743.43749999811519</v>
      </c>
      <c r="J94" s="2">
        <f t="shared" si="13"/>
        <v>731.09819263666793</v>
      </c>
      <c r="K94" s="2">
        <f t="shared" si="14"/>
        <v>743.59538329498082</v>
      </c>
      <c r="L94" s="2">
        <f t="shared" si="15"/>
        <v>742.41280869931256</v>
      </c>
      <c r="M94" s="2">
        <f t="shared" si="16"/>
        <v>742.9835486054609</v>
      </c>
      <c r="N94" s="2">
        <f t="shared" si="17"/>
        <v>739.04973059094993</v>
      </c>
      <c r="O94" s="2">
        <f t="shared" si="18"/>
        <v>745.10607824087208</v>
      </c>
      <c r="P94" s="2">
        <f t="shared" si="19"/>
        <v>730.41074108182693</v>
      </c>
      <c r="Q94" s="2">
        <f t="shared" si="20"/>
        <v>743.42055624537238</v>
      </c>
      <c r="S94">
        <v>92</v>
      </c>
      <c r="U94">
        <f>$B$6*U93+$B$7*'Станд.норм.распр.'!B94</f>
        <v>4.5893218970100875</v>
      </c>
      <c r="V94">
        <f>$B$6*V93+$B$7*'Станд.норм.распр.'!C94</f>
        <v>3.4374999981151833</v>
      </c>
      <c r="W94">
        <f>$B$6*W93+$B$7*'Станд.норм.распр.'!D94</f>
        <v>-8.9018073633320576</v>
      </c>
      <c r="X94">
        <f>$B$6*X93+$B$7*'Станд.норм.распр.'!E94</f>
        <v>3.5953832949808122</v>
      </c>
      <c r="Y94">
        <f>$B$6*Y93+$B$7*'Станд.норм.распр.'!F94</f>
        <v>2.4128086993125604</v>
      </c>
      <c r="Z94">
        <f>$B$6*Z93+$B$7*'Станд.норм.распр.'!G94</f>
        <v>2.9835486054609066</v>
      </c>
      <c r="AA94">
        <f>$B$6*AA93+$B$7*'Станд.норм.распр.'!H94</f>
        <v>-0.95026940905001345</v>
      </c>
      <c r="AB94">
        <f>$B$6*AB93+$B$7*'Станд.норм.распр.'!I94</f>
        <v>5.1060782408721099</v>
      </c>
      <c r="AC94">
        <f>$B$6*AC93+$B$7*'Станд.норм.распр.'!J94</f>
        <v>-9.5892589181730639</v>
      </c>
      <c r="AD94">
        <f>$B$6*AD93+$B$7*'Станд.норм.распр.'!K94</f>
        <v>3.4205562453723473</v>
      </c>
    </row>
    <row r="95" spans="3:30" x14ac:dyDescent="0.3">
      <c r="C95" s="4" t="s">
        <v>103</v>
      </c>
      <c r="D95" s="4" t="s">
        <v>5</v>
      </c>
      <c r="E95" s="4">
        <v>590</v>
      </c>
      <c r="F95" s="4" t="s">
        <v>321</v>
      </c>
      <c r="G95" s="4" t="s">
        <v>5</v>
      </c>
      <c r="H95" s="2">
        <f t="shared" si="11"/>
        <v>6505.7268429425576</v>
      </c>
      <c r="I95" s="2">
        <f t="shared" si="12"/>
        <v>6506.8634616312083</v>
      </c>
      <c r="J95" s="2">
        <f t="shared" si="13"/>
        <v>6502.0760545876337</v>
      </c>
      <c r="K95" s="2">
        <f t="shared" si="14"/>
        <v>6502.8920675328436</v>
      </c>
      <c r="L95" s="2">
        <f t="shared" si="15"/>
        <v>6502.4347146985301</v>
      </c>
      <c r="M95" s="2">
        <f t="shared" si="16"/>
        <v>6499.7146184823341</v>
      </c>
      <c r="N95" s="2">
        <f t="shared" si="17"/>
        <v>6501.1078035447272</v>
      </c>
      <c r="O95" s="2">
        <f t="shared" si="18"/>
        <v>6505.2474151381739</v>
      </c>
      <c r="P95" s="2">
        <f t="shared" si="19"/>
        <v>6497.6544797118195</v>
      </c>
      <c r="Q95" s="2">
        <f t="shared" si="20"/>
        <v>6503.2472526773345</v>
      </c>
      <c r="S95">
        <v>93</v>
      </c>
      <c r="U95">
        <f>$B$6*U94+$B$7*'Станд.норм.распр.'!B95</f>
        <v>1.7268429425574148</v>
      </c>
      <c r="V95">
        <f>$B$6*V94+$B$7*'Станд.норм.распр.'!C95</f>
        <v>2.8634616312081662</v>
      </c>
      <c r="W95">
        <f>$B$6*W94+$B$7*'Станд.норм.распр.'!D95</f>
        <v>-1.9239454123660895</v>
      </c>
      <c r="X95">
        <f>$B$6*X94+$B$7*'Станд.норм.распр.'!E95</f>
        <v>-1.1079324671559374</v>
      </c>
      <c r="Y95">
        <f>$B$6*Y94+$B$7*'Станд.норм.распр.'!F95</f>
        <v>-1.5652853014702275</v>
      </c>
      <c r="Z95">
        <f>$B$6*Z94+$B$7*'Станд.норм.распр.'!G95</f>
        <v>-4.2853815176662753</v>
      </c>
      <c r="AA95">
        <f>$B$6*AA94+$B$7*'Станд.норм.распр.'!H95</f>
        <v>-2.8921964552729689</v>
      </c>
      <c r="AB95">
        <f>$B$6*AB94+$B$7*'Станд.норм.распр.'!I95</f>
        <v>1.247415138174305</v>
      </c>
      <c r="AC95">
        <f>$B$6*AC94+$B$7*'Станд.норм.распр.'!J95</f>
        <v>-6.3455202881805191</v>
      </c>
      <c r="AD95">
        <f>$B$6*AD94+$B$7*'Станд.норм.распр.'!K95</f>
        <v>-0.75274732266519639</v>
      </c>
    </row>
    <row r="96" spans="3:30" x14ac:dyDescent="0.3">
      <c r="C96" s="4" t="s">
        <v>104</v>
      </c>
      <c r="D96" s="4" t="s">
        <v>5</v>
      </c>
      <c r="E96" s="4">
        <v>852</v>
      </c>
      <c r="F96" s="4" t="s">
        <v>322</v>
      </c>
      <c r="G96" s="4" t="s">
        <v>5</v>
      </c>
      <c r="H96" s="2">
        <f t="shared" si="11"/>
        <v>9384.7060295528336</v>
      </c>
      <c r="I96" s="2">
        <f t="shared" si="12"/>
        <v>9390.5738258264482</v>
      </c>
      <c r="J96" s="2">
        <f t="shared" si="13"/>
        <v>9379.2210107004903</v>
      </c>
      <c r="K96" s="2">
        <f t="shared" si="14"/>
        <v>9383.1538888392261</v>
      </c>
      <c r="L96" s="2">
        <f t="shared" si="15"/>
        <v>9386.8323436805986</v>
      </c>
      <c r="M96" s="2">
        <f t="shared" si="16"/>
        <v>9385.4482064684544</v>
      </c>
      <c r="N96" s="2">
        <f t="shared" si="17"/>
        <v>9382.2401847677102</v>
      </c>
      <c r="O96" s="2">
        <f t="shared" si="18"/>
        <v>9380.6958030018723</v>
      </c>
      <c r="P96" s="2">
        <f t="shared" si="19"/>
        <v>9385.4282696474584</v>
      </c>
      <c r="Q96" s="2">
        <f t="shared" si="20"/>
        <v>9388.8924389725726</v>
      </c>
      <c r="S96">
        <v>94</v>
      </c>
      <c r="U96">
        <f>$B$6*U95+$B$7*'Станд.норм.распр.'!B96</f>
        <v>-1.2939704471660658</v>
      </c>
      <c r="V96">
        <f>$B$6*V95+$B$7*'Станд.норм.распр.'!C96</f>
        <v>4.5738258264481422</v>
      </c>
      <c r="W96">
        <f>$B$6*W95+$B$7*'Станд.норм.распр.'!D96</f>
        <v>-6.7789892995091448</v>
      </c>
      <c r="X96">
        <f>$B$6*X95+$B$7*'Станд.норм.распр.'!E96</f>
        <v>-2.8461111607741731</v>
      </c>
      <c r="Y96">
        <f>$B$6*Y95+$B$7*'Станд.норм.распр.'!F96</f>
        <v>0.83234368059794328</v>
      </c>
      <c r="Z96">
        <f>$B$6*Z95+$B$7*'Станд.норм.распр.'!G96</f>
        <v>-0.55179353154491384</v>
      </c>
      <c r="AA96">
        <f>$B$6*AA95+$B$7*'Станд.норм.распр.'!H96</f>
        <v>-3.7598152322903657</v>
      </c>
      <c r="AB96">
        <f>$B$6*AB95+$B$7*'Станд.норм.распр.'!I96</f>
        <v>-5.3041969981284396</v>
      </c>
      <c r="AC96">
        <f>$B$6*AC95+$B$7*'Станд.норм.распр.'!J96</f>
        <v>-0.57173035254117854</v>
      </c>
      <c r="AD96">
        <f>$B$6*AD95+$B$7*'Станд.норм.распр.'!K96</f>
        <v>2.8924389725727289</v>
      </c>
    </row>
    <row r="97" spans="3:30" x14ac:dyDescent="0.3">
      <c r="C97" s="4" t="s">
        <v>105</v>
      </c>
      <c r="D97" s="4" t="s">
        <v>5</v>
      </c>
      <c r="E97" s="4">
        <v>963</v>
      </c>
      <c r="F97" s="4" t="s">
        <v>323</v>
      </c>
      <c r="G97" s="4" t="s">
        <v>5</v>
      </c>
      <c r="H97" s="2">
        <f t="shared" si="11"/>
        <v>10608.423333945851</v>
      </c>
      <c r="I97" s="2">
        <f t="shared" si="12"/>
        <v>10607.309375845791</v>
      </c>
      <c r="J97" s="2">
        <f t="shared" si="13"/>
        <v>10604.445394201632</v>
      </c>
      <c r="K97" s="2">
        <f t="shared" si="14"/>
        <v>10606.570030779425</v>
      </c>
      <c r="L97" s="2">
        <f t="shared" si="15"/>
        <v>10607.489503261235</v>
      </c>
      <c r="M97" s="2">
        <f t="shared" si="16"/>
        <v>10608.683990420104</v>
      </c>
      <c r="N97" s="2">
        <f t="shared" si="17"/>
        <v>10608.488344620979</v>
      </c>
      <c r="O97" s="2">
        <f t="shared" si="18"/>
        <v>10607.061378943676</v>
      </c>
      <c r="P97" s="2">
        <f t="shared" si="19"/>
        <v>10605.529085964687</v>
      </c>
      <c r="Q97" s="2">
        <f t="shared" si="20"/>
        <v>10606.429446817419</v>
      </c>
      <c r="S97">
        <v>95</v>
      </c>
      <c r="U97">
        <f>$B$6*U96+$B$7*'Станд.норм.распр.'!B97</f>
        <v>1.4233339458507546</v>
      </c>
      <c r="V97">
        <f>$B$6*V96+$B$7*'Станд.норм.распр.'!C97</f>
        <v>0.3093758457916489</v>
      </c>
      <c r="W97">
        <f>$B$6*W96+$B$7*'Станд.норм.распр.'!D97</f>
        <v>-2.5546057983680774</v>
      </c>
      <c r="X97">
        <f>$B$6*X96+$B$7*'Станд.норм.распр.'!E97</f>
        <v>-0.4299692205742085</v>
      </c>
      <c r="Y97">
        <f>$B$6*Y96+$B$7*'Станд.норм.распр.'!F97</f>
        <v>0.48950326123454563</v>
      </c>
      <c r="Z97">
        <f>$B$6*Z96+$B$7*'Станд.норм.распр.'!G97</f>
        <v>1.6839904201036844</v>
      </c>
      <c r="AA97">
        <f>$B$6*AA96+$B$7*'Станд.норм.распр.'!H97</f>
        <v>1.4883446209784872</v>
      </c>
      <c r="AB97">
        <f>$B$6*AB96+$B$7*'Станд.норм.распр.'!I97</f>
        <v>6.1378943675311604E-2</v>
      </c>
      <c r="AC97">
        <f>$B$6*AC96+$B$7*'Станд.норм.распр.'!J97</f>
        <v>-1.4709140353131704</v>
      </c>
      <c r="AD97">
        <f>$B$6*AD96+$B$7*'Станд.норм.распр.'!K97</f>
        <v>-0.57055318258054188</v>
      </c>
    </row>
    <row r="98" spans="3:30" x14ac:dyDescent="0.3">
      <c r="C98" s="4" t="s">
        <v>106</v>
      </c>
      <c r="D98" s="4" t="s">
        <v>5</v>
      </c>
      <c r="E98" s="4">
        <v>802</v>
      </c>
      <c r="F98" s="4" t="s">
        <v>324</v>
      </c>
      <c r="G98" s="4" t="s">
        <v>5</v>
      </c>
      <c r="H98" s="2">
        <f t="shared" si="11"/>
        <v>8833.7212415722861</v>
      </c>
      <c r="I98" s="2">
        <f t="shared" si="12"/>
        <v>8842.056944739521</v>
      </c>
      <c r="J98" s="2">
        <f t="shared" si="13"/>
        <v>8834.8290909278985</v>
      </c>
      <c r="K98" s="2">
        <f t="shared" si="14"/>
        <v>8835.4684201779128</v>
      </c>
      <c r="L98" s="2">
        <f t="shared" si="15"/>
        <v>8836.7959555482121</v>
      </c>
      <c r="M98" s="2">
        <f t="shared" si="16"/>
        <v>8841.158989119067</v>
      </c>
      <c r="N98" s="2">
        <f t="shared" si="17"/>
        <v>8839.8958170157021</v>
      </c>
      <c r="O98" s="2">
        <f t="shared" si="18"/>
        <v>8834.7831037571013</v>
      </c>
      <c r="P98" s="2">
        <f t="shared" si="19"/>
        <v>8832.9687077803956</v>
      </c>
      <c r="Q98" s="2">
        <f t="shared" si="20"/>
        <v>8834.4918645811777</v>
      </c>
      <c r="S98">
        <v>96</v>
      </c>
      <c r="U98">
        <f>$B$6*U97+$B$7*'Станд.норм.распр.'!B98</f>
        <v>-2.2787584277142741</v>
      </c>
      <c r="V98">
        <f>$B$6*V97+$B$7*'Станд.норм.распр.'!C98</f>
        <v>6.0569447395214198</v>
      </c>
      <c r="W98">
        <f>$B$6*W97+$B$7*'Станд.норм.распр.'!D98</f>
        <v>-1.1709090721022644</v>
      </c>
      <c r="X98">
        <f>$B$6*X97+$B$7*'Станд.норм.распр.'!E98</f>
        <v>-0.5315798220868142</v>
      </c>
      <c r="Y98">
        <f>$B$6*Y97+$B$7*'Станд.норм.распр.'!F98</f>
        <v>0.79595554821283288</v>
      </c>
      <c r="Z98">
        <f>$B$6*Z97+$B$7*'Станд.норм.распр.'!G98</f>
        <v>5.158989119066697</v>
      </c>
      <c r="AA98">
        <f>$B$6*AA97+$B$7*'Станд.норм.распр.'!H98</f>
        <v>3.8958170157019185</v>
      </c>
      <c r="AB98">
        <f>$B$6*AB97+$B$7*'Станд.норм.распр.'!I98</f>
        <v>-1.2168962428988319</v>
      </c>
      <c r="AC98">
        <f>$B$6*AC97+$B$7*'Станд.норм.распр.'!J98</f>
        <v>-3.0312922196052337</v>
      </c>
      <c r="AD98">
        <f>$B$6*AD97+$B$7*'Станд.норм.распр.'!K98</f>
        <v>-1.5081354188223073</v>
      </c>
    </row>
    <row r="99" spans="3:30" x14ac:dyDescent="0.3">
      <c r="C99" s="4" t="s">
        <v>107</v>
      </c>
      <c r="D99" s="4" t="s">
        <v>5</v>
      </c>
      <c r="E99" s="4">
        <v>686</v>
      </c>
      <c r="F99" s="4" t="s">
        <v>325</v>
      </c>
      <c r="G99" s="4" t="s">
        <v>5</v>
      </c>
      <c r="H99" s="2">
        <f t="shared" si="11"/>
        <v>7555.1603188546123</v>
      </c>
      <c r="I99" s="2">
        <f t="shared" si="12"/>
        <v>7563.9481522753249</v>
      </c>
      <c r="J99" s="2">
        <f t="shared" si="13"/>
        <v>7553.152838151289</v>
      </c>
      <c r="K99" s="2">
        <f t="shared" si="14"/>
        <v>7560.3600800048498</v>
      </c>
      <c r="L99" s="2">
        <f t="shared" si="15"/>
        <v>7555.9958824458463</v>
      </c>
      <c r="M99" s="2">
        <f t="shared" si="16"/>
        <v>7562.2332226417275</v>
      </c>
      <c r="N99" s="2">
        <f t="shared" si="17"/>
        <v>7563.5546786914219</v>
      </c>
      <c r="O99" s="2">
        <f t="shared" si="18"/>
        <v>7554.0671334257495</v>
      </c>
      <c r="P99" s="2">
        <f t="shared" si="19"/>
        <v>7559.7067113587755</v>
      </c>
      <c r="Q99" s="2">
        <f t="shared" si="20"/>
        <v>7556.4963228970846</v>
      </c>
      <c r="S99">
        <v>97</v>
      </c>
      <c r="U99">
        <f>$B$6*U98+$B$7*'Станд.норм.распр.'!B99</f>
        <v>-4.8396811453878401</v>
      </c>
      <c r="V99">
        <f>$B$6*V98+$B$7*'Станд.норм.распр.'!C99</f>
        <v>3.9481522753251177</v>
      </c>
      <c r="W99">
        <f>$B$6*W98+$B$7*'Станд.норм.распр.'!D99</f>
        <v>-6.8471618487114236</v>
      </c>
      <c r="X99">
        <f>$B$6*X98+$B$7*'Станд.норм.распр.'!E99</f>
        <v>0.36008000485001068</v>
      </c>
      <c r="Y99">
        <f>$B$6*Y98+$B$7*'Станд.норм.распр.'!F99</f>
        <v>-4.0041175541533311</v>
      </c>
      <c r="Z99">
        <f>$B$6*Z98+$B$7*'Станд.норм.распр.'!G99</f>
        <v>2.2332226417273415</v>
      </c>
      <c r="AA99">
        <f>$B$6*AA98+$B$7*'Станд.норм.распр.'!H99</f>
        <v>3.5546786914218753</v>
      </c>
      <c r="AB99">
        <f>$B$6*AB98+$B$7*'Станд.норм.распр.'!I99</f>
        <v>-5.9328665742505988</v>
      </c>
      <c r="AC99">
        <f>$B$6*AC98+$B$7*'Станд.норм.распр.'!J99</f>
        <v>-0.29328864122493292</v>
      </c>
      <c r="AD99">
        <f>$B$6*AD98+$B$7*'Станд.норм.распр.'!K99</f>
        <v>-3.5036771029153693</v>
      </c>
    </row>
    <row r="100" spans="3:30" x14ac:dyDescent="0.3">
      <c r="C100" s="4" t="s">
        <v>108</v>
      </c>
      <c r="D100" s="4" t="s">
        <v>5</v>
      </c>
      <c r="E100" s="4">
        <v>256</v>
      </c>
      <c r="F100" s="4" t="s">
        <v>326</v>
      </c>
      <c r="G100" s="4" t="s">
        <v>5</v>
      </c>
      <c r="H100" s="2">
        <f t="shared" si="11"/>
        <v>2824.2491441770098</v>
      </c>
      <c r="I100" s="2">
        <f t="shared" si="12"/>
        <v>2840.532566800498</v>
      </c>
      <c r="J100" s="2">
        <f t="shared" si="13"/>
        <v>2829.0253699843734</v>
      </c>
      <c r="K100" s="2">
        <f t="shared" si="14"/>
        <v>2829.607317546298</v>
      </c>
      <c r="L100" s="2">
        <f t="shared" si="15"/>
        <v>2823.9801665233181</v>
      </c>
      <c r="M100" s="2">
        <f t="shared" si="16"/>
        <v>2828.3088511098649</v>
      </c>
      <c r="N100" s="2">
        <f t="shared" si="17"/>
        <v>2831.4622369482031</v>
      </c>
      <c r="O100" s="2">
        <f t="shared" si="18"/>
        <v>2829.0480406338829</v>
      </c>
      <c r="P100" s="2">
        <f t="shared" si="19"/>
        <v>2824.1052582147126</v>
      </c>
      <c r="Q100" s="2">
        <f t="shared" si="20"/>
        <v>2825.5652907762542</v>
      </c>
      <c r="S100">
        <v>98</v>
      </c>
      <c r="U100">
        <f>$B$6*U99+$B$7*'Станд.норм.распр.'!B100</f>
        <v>-5.7508558229902516</v>
      </c>
      <c r="V100">
        <f>$B$6*V99+$B$7*'Станд.норм.распр.'!C100</f>
        <v>10.532566800498097</v>
      </c>
      <c r="W100">
        <f>$B$6*W99+$B$7*'Станд.норм.распр.'!D100</f>
        <v>-0.9746300156268366</v>
      </c>
      <c r="X100">
        <f>$B$6*X99+$B$7*'Станд.норм.распр.'!E100</f>
        <v>-0.39268245370193416</v>
      </c>
      <c r="Y100">
        <f>$B$6*Y99+$B$7*'Станд.норм.распр.'!F100</f>
        <v>-6.0198334766817361</v>
      </c>
      <c r="Z100">
        <f>$B$6*Z99+$B$7*'Станд.норм.распр.'!G100</f>
        <v>-1.6911488901351512</v>
      </c>
      <c r="AA100">
        <f>$B$6*AA99+$B$7*'Станд.норм.распр.'!H100</f>
        <v>1.4622369482030662</v>
      </c>
      <c r="AB100">
        <f>$B$6*AB99+$B$7*'Станд.норм.распр.'!I100</f>
        <v>-0.95195936611712417</v>
      </c>
      <c r="AC100">
        <f>$B$6*AC99+$B$7*'Станд.норм.распр.'!J100</f>
        <v>-5.8947417852875503</v>
      </c>
      <c r="AD100">
        <f>$B$6*AD99+$B$7*'Станд.норм.распр.'!K100</f>
        <v>-4.4347092237458021</v>
      </c>
    </row>
    <row r="101" spans="3:30" x14ac:dyDescent="0.3">
      <c r="C101" s="4" t="s">
        <v>109</v>
      </c>
      <c r="D101" s="4" t="s">
        <v>5</v>
      </c>
      <c r="E101" s="4">
        <v>240</v>
      </c>
      <c r="F101" s="4" t="s">
        <v>327</v>
      </c>
      <c r="G101" s="4" t="s">
        <v>5</v>
      </c>
      <c r="H101" s="2">
        <f t="shared" si="11"/>
        <v>2654.3550154146792</v>
      </c>
      <c r="I101" s="2">
        <f t="shared" si="12"/>
        <v>2657.0751674182625</v>
      </c>
      <c r="J101" s="2">
        <f t="shared" si="13"/>
        <v>2648.8086375290509</v>
      </c>
      <c r="K101" s="2">
        <f t="shared" si="14"/>
        <v>2654.7163639912192</v>
      </c>
      <c r="L101" s="2">
        <f t="shared" si="15"/>
        <v>2649.0644419619098</v>
      </c>
      <c r="M101" s="2">
        <f t="shared" si="16"/>
        <v>2655.1995246485112</v>
      </c>
      <c r="N101" s="2">
        <f t="shared" si="17"/>
        <v>2655.7567488280806</v>
      </c>
      <c r="O101" s="2">
        <f t="shared" si="18"/>
        <v>2657.1474608512253</v>
      </c>
      <c r="P101" s="2">
        <f t="shared" si="19"/>
        <v>2653.4251892823463</v>
      </c>
      <c r="Q101" s="2">
        <f t="shared" si="20"/>
        <v>2652.1589715583532</v>
      </c>
      <c r="S101">
        <v>99</v>
      </c>
      <c r="U101">
        <f>$B$6*U100+$B$7*'Станд.норм.распр.'!B101</f>
        <v>0.35501541467915576</v>
      </c>
      <c r="V101">
        <f>$B$6*V100+$B$7*'Станд.норм.распр.'!C101</f>
        <v>3.0751674182625353</v>
      </c>
      <c r="W101">
        <f>$B$6*W100+$B$7*'Станд.норм.распр.'!D101</f>
        <v>-5.1913624709491977</v>
      </c>
      <c r="X101">
        <f>$B$6*X100+$B$7*'Станд.норм.распр.'!E101</f>
        <v>0.71636399121921956</v>
      </c>
      <c r="Y101">
        <f>$B$6*Y100+$B$7*'Станд.норм.распр.'!F101</f>
        <v>-4.9355580380901269</v>
      </c>
      <c r="Z101">
        <f>$B$6*Z100+$B$7*'Станд.норм.распр.'!G101</f>
        <v>1.1995246485111641</v>
      </c>
      <c r="AA101">
        <f>$B$6*AA100+$B$7*'Станд.норм.распр.'!H101</f>
        <v>1.756748828080601</v>
      </c>
      <c r="AB101">
        <f>$B$6*AB100+$B$7*'Станд.норм.распр.'!I101</f>
        <v>3.1474608512253104</v>
      </c>
      <c r="AC101">
        <f>$B$6*AC100+$B$7*'Станд.норм.распр.'!J101</f>
        <v>-0.57481071765356262</v>
      </c>
      <c r="AD101">
        <f>$B$6*AD100+$B$7*'Станд.норм.распр.'!K101</f>
        <v>-1.8410284416468077</v>
      </c>
    </row>
    <row r="102" spans="3:30" x14ac:dyDescent="0.3">
      <c r="C102" s="4" t="s">
        <v>110</v>
      </c>
      <c r="D102" s="4" t="s">
        <v>5</v>
      </c>
      <c r="E102" s="4">
        <v>629</v>
      </c>
      <c r="F102" s="4" t="s">
        <v>328</v>
      </c>
      <c r="G102" s="4" t="s">
        <v>5</v>
      </c>
      <c r="H102" s="2">
        <f t="shared" si="11"/>
        <v>6938.1602077193393</v>
      </c>
      <c r="I102" s="2">
        <f t="shared" si="12"/>
        <v>6933.8511755521313</v>
      </c>
      <c r="J102" s="2">
        <f t="shared" si="13"/>
        <v>6924.9688118235254</v>
      </c>
      <c r="K102" s="2">
        <f t="shared" si="14"/>
        <v>6937.7195771476099</v>
      </c>
      <c r="L102" s="2">
        <f t="shared" si="15"/>
        <v>6927.1854273169547</v>
      </c>
      <c r="M102" s="2">
        <f t="shared" si="16"/>
        <v>6930.7965276682553</v>
      </c>
      <c r="N102" s="2">
        <f t="shared" si="17"/>
        <v>6936.7636169950401</v>
      </c>
      <c r="O102" s="2">
        <f t="shared" si="18"/>
        <v>6934.954523458613</v>
      </c>
      <c r="P102" s="2">
        <f t="shared" si="19"/>
        <v>6927.5460306501736</v>
      </c>
      <c r="Q102" s="2">
        <f t="shared" si="20"/>
        <v>6933.0476272151764</v>
      </c>
      <c r="S102">
        <v>100</v>
      </c>
      <c r="U102">
        <f>$B$6*U101+$B$7*'Станд.норм.распр.'!B102</f>
        <v>5.1602077193395779</v>
      </c>
      <c r="V102">
        <f>$B$6*V101+$B$7*'Станд.норм.распр.'!C102</f>
        <v>0.85117555213126761</v>
      </c>
      <c r="W102">
        <f>$B$6*W101+$B$7*'Станд.норм.распр.'!D102</f>
        <v>-8.0311881764745987</v>
      </c>
      <c r="X102">
        <f>$B$6*X101+$B$7*'Станд.норм.распр.'!E102</f>
        <v>4.71957714760961</v>
      </c>
      <c r="Y102">
        <f>$B$6*Y101+$B$7*'Станд.норм.распр.'!F102</f>
        <v>-5.8145726830450633</v>
      </c>
      <c r="Z102">
        <f>$B$6*Z101+$B$7*'Станд.норм.распр.'!G102</f>
        <v>-2.2034723317444178</v>
      </c>
      <c r="AA102">
        <f>$B$6*AA101+$B$7*'Станд.норм.распр.'!H102</f>
        <v>3.7636169950403007</v>
      </c>
      <c r="AB102">
        <f>$B$6*AB101+$B$7*'Станд.норм.распр.'!I102</f>
        <v>1.9545234586126552</v>
      </c>
      <c r="AC102">
        <f>$B$6*AC101+$B$7*'Станд.норм.распр.'!J102</f>
        <v>-5.4539693498267816</v>
      </c>
      <c r="AD102">
        <f>$B$6*AD101+$B$7*'Станд.норм.распр.'!K102</f>
        <v>4.7627215176596183E-2</v>
      </c>
    </row>
    <row r="104" spans="3:30" x14ac:dyDescent="0.3">
      <c r="C104" s="8" t="s">
        <v>339</v>
      </c>
      <c r="D104" s="9"/>
      <c r="E104" s="8" t="s">
        <v>340</v>
      </c>
      <c r="F104" s="9"/>
      <c r="G104" s="8" t="s">
        <v>341</v>
      </c>
      <c r="H104" s="9"/>
      <c r="I104" s="8" t="s">
        <v>342</v>
      </c>
      <c r="J104" s="9"/>
      <c r="K104" s="8" t="s">
        <v>343</v>
      </c>
      <c r="L104" s="9"/>
      <c r="M104" s="8" t="s">
        <v>344</v>
      </c>
      <c r="N104" s="9"/>
      <c r="O104" s="8" t="s">
        <v>345</v>
      </c>
      <c r="P104" s="9"/>
      <c r="Q104" s="8" t="s">
        <v>346</v>
      </c>
      <c r="R104" s="9"/>
      <c r="S104" s="8" t="s">
        <v>347</v>
      </c>
      <c r="T104" s="9"/>
      <c r="U104" s="8" t="s">
        <v>348</v>
      </c>
      <c r="V104" s="9"/>
    </row>
    <row r="105" spans="3:30" x14ac:dyDescent="0.3">
      <c r="C105" s="10" cm="1">
        <f t="array" ref="C105:D109">LINEST(H3:H102,$E$3:$E$102,1,1)</f>
        <v>11.000255798404591</v>
      </c>
      <c r="D105" s="11">
        <v>13.808936570149854</v>
      </c>
      <c r="E105" s="10" cm="1">
        <f t="array" ref="E105:F109">LINEST(I3:I102,$E$3:$E$102,1,1)</f>
        <v>10.999801072501572</v>
      </c>
      <c r="F105" s="11">
        <v>13.893113909809472</v>
      </c>
      <c r="G105" s="10" cm="1">
        <f t="array" ref="G105:H109">LINEST(J3:J102,$E$3:$E$102,1,1)</f>
        <v>10.998691559918949</v>
      </c>
      <c r="H105" s="11">
        <v>14.711433238961035</v>
      </c>
      <c r="I105" s="10" cm="1">
        <f t="array" ref="I105:J109">LINEST(K3:K102,$E$3:$E$102,1,1)</f>
        <v>10.99859785785077</v>
      </c>
      <c r="J105" s="11">
        <v>14.746666370764615</v>
      </c>
      <c r="K105" s="10" cm="1">
        <f t="array" ref="K105:L109">LINEST(L3:L102,$E$3:$E$102,1,1)</f>
        <v>11.000552149617763</v>
      </c>
      <c r="L105" s="11">
        <v>13.6515870653202</v>
      </c>
      <c r="M105" s="10" cm="1">
        <f t="array" ref="M105:N109">LINEST(M3:M102,$E$3:$E$102,1,1)</f>
        <v>10.997801739899826</v>
      </c>
      <c r="N105" s="11">
        <v>15.237319544503407</v>
      </c>
      <c r="O105" s="10" cm="1">
        <f t="array" ref="O105:P109">LINEST(N3:N102,$E$3:$E$102,1,1)</f>
        <v>11.000543845182342</v>
      </c>
      <c r="P105" s="11">
        <v>13.778944594958375</v>
      </c>
      <c r="Q105" s="10" cm="1">
        <f t="array" ref="Q105:R109">LINEST(O3:O102,$E$3:$E$102,1,1)</f>
        <v>10.999673352333948</v>
      </c>
      <c r="R105" s="11">
        <v>13.899562249430346</v>
      </c>
      <c r="S105" s="10" cm="1">
        <f t="array" ref="S105:T109">LINEST(P3:P102,$E$3:$E$102,1,1)</f>
        <v>11.000925194408454</v>
      </c>
      <c r="T105" s="11">
        <v>13.659709615299107</v>
      </c>
      <c r="U105" s="10" cm="1">
        <f t="array" ref="U105:V109">LINEST(Q3:Q102,$E$3:$E$102,1,1)</f>
        <v>11.001026807057141</v>
      </c>
      <c r="V105" s="11">
        <v>13.339655216672327</v>
      </c>
    </row>
    <row r="106" spans="3:30" x14ac:dyDescent="0.3">
      <c r="C106" s="10">
        <v>1.0823302076084285E-3</v>
      </c>
      <c r="D106" s="11">
        <v>0.64828293513604052</v>
      </c>
      <c r="E106" s="10">
        <v>1.4462276074380435E-3</v>
      </c>
      <c r="F106" s="11">
        <v>0.86624642981775257</v>
      </c>
      <c r="G106" s="10">
        <v>1.3368951306810669E-3</v>
      </c>
      <c r="H106" s="11">
        <v>0.80075959554161957</v>
      </c>
      <c r="I106" s="10">
        <v>1.0853142294126217E-3</v>
      </c>
      <c r="J106" s="11">
        <v>0.65007027360274261</v>
      </c>
      <c r="K106" s="10">
        <v>1.1263187028329358E-3</v>
      </c>
      <c r="L106" s="11">
        <v>0.67463070829796112</v>
      </c>
      <c r="M106" s="10">
        <v>1.2181451983891323E-3</v>
      </c>
      <c r="N106" s="11">
        <v>0.72963199131118039</v>
      </c>
      <c r="O106" s="10">
        <v>1.3076015002492676E-3</v>
      </c>
      <c r="P106" s="11">
        <v>0.7832136002588308</v>
      </c>
      <c r="Q106" s="10">
        <v>1.5331932445320755E-3</v>
      </c>
      <c r="R106" s="11">
        <v>0.91833620618634459</v>
      </c>
      <c r="S106" s="10">
        <v>1.1425114087051476E-3</v>
      </c>
      <c r="T106" s="11">
        <v>0.68432964750970837</v>
      </c>
      <c r="U106" s="10">
        <v>1.0755732285663202E-3</v>
      </c>
      <c r="V106" s="11">
        <v>0.64423570982968048</v>
      </c>
    </row>
    <row r="107" spans="3:30" x14ac:dyDescent="0.3">
      <c r="C107" s="10">
        <v>0.99999905127650823</v>
      </c>
      <c r="D107" s="11">
        <v>2.9784734223467133</v>
      </c>
      <c r="E107" s="10">
        <v>0.99999830593927885</v>
      </c>
      <c r="F107" s="11">
        <v>3.9798856773446882</v>
      </c>
      <c r="G107" s="10">
        <v>0.99999855210161559</v>
      </c>
      <c r="H107" s="11">
        <v>3.6790127330890225</v>
      </c>
      <c r="I107" s="10">
        <v>0.99999904575035092</v>
      </c>
      <c r="J107" s="11">
        <v>2.9866851765535287</v>
      </c>
      <c r="K107" s="10">
        <v>0.99999897264804283</v>
      </c>
      <c r="L107" s="11">
        <v>3.0995257250489776</v>
      </c>
      <c r="M107" s="10">
        <v>0.99999879770263211</v>
      </c>
      <c r="N107" s="11">
        <v>3.3522238152978998</v>
      </c>
      <c r="O107" s="10">
        <v>0.99999861532458301</v>
      </c>
      <c r="P107" s="11">
        <v>3.5983993499719107</v>
      </c>
      <c r="Q107" s="10">
        <v>0.99999809603278489</v>
      </c>
      <c r="R107" s="11">
        <v>4.2192071311128299</v>
      </c>
      <c r="S107" s="10">
        <v>0.99999894296763636</v>
      </c>
      <c r="T107" s="11">
        <v>3.1440865658508166</v>
      </c>
      <c r="U107" s="10">
        <v>0.99999906321659038</v>
      </c>
      <c r="V107" s="11">
        <v>2.959878836008091</v>
      </c>
    </row>
    <row r="108" spans="3:30" x14ac:dyDescent="0.3">
      <c r="C108" s="10">
        <v>103296595.77722155</v>
      </c>
      <c r="D108" s="11">
        <v>98</v>
      </c>
      <c r="E108" s="10">
        <v>57849068.076401144</v>
      </c>
      <c r="F108" s="11">
        <v>98</v>
      </c>
      <c r="G108" s="10">
        <v>67684209.856974483</v>
      </c>
      <c r="H108" s="11">
        <v>98</v>
      </c>
      <c r="I108" s="10">
        <v>102698394.05437256</v>
      </c>
      <c r="J108" s="11">
        <v>98</v>
      </c>
      <c r="K108" s="10">
        <v>95390774.931374252</v>
      </c>
      <c r="L108" s="11">
        <v>98</v>
      </c>
      <c r="M108" s="10">
        <v>81510518.774336889</v>
      </c>
      <c r="N108" s="11">
        <v>98</v>
      </c>
      <c r="O108" s="10">
        <v>70774611.212856993</v>
      </c>
      <c r="P108" s="11">
        <v>98</v>
      </c>
      <c r="Q108" s="10">
        <v>51471376.520896465</v>
      </c>
      <c r="R108" s="11">
        <v>98</v>
      </c>
      <c r="S108" s="10">
        <v>92712295.07570684</v>
      </c>
      <c r="T108" s="11">
        <v>98</v>
      </c>
      <c r="U108" s="10">
        <v>104613197.87711884</v>
      </c>
      <c r="V108" s="11">
        <v>98</v>
      </c>
    </row>
    <row r="109" spans="3:30" x14ac:dyDescent="0.3">
      <c r="C109" s="12">
        <v>916375495.82883418</v>
      </c>
      <c r="D109" s="13">
        <v>869.38778490732284</v>
      </c>
      <c r="E109" s="12">
        <v>916299735.5792973</v>
      </c>
      <c r="F109" s="13">
        <v>1552.270020463872</v>
      </c>
      <c r="G109" s="12">
        <v>916114896.81602097</v>
      </c>
      <c r="H109" s="13">
        <v>1326.4431996426536</v>
      </c>
      <c r="I109" s="12">
        <v>916099287.41477752</v>
      </c>
      <c r="J109" s="13">
        <v>874.18825769676926</v>
      </c>
      <c r="K109" s="12">
        <v>916424871.52572238</v>
      </c>
      <c r="L109" s="13">
        <v>941.4918525835584</v>
      </c>
      <c r="M109" s="12">
        <v>915966671.1119585</v>
      </c>
      <c r="N109" s="13">
        <v>1101.2656417693399</v>
      </c>
      <c r="O109" s="12">
        <v>916423487.88821268</v>
      </c>
      <c r="P109" s="13">
        <v>1268.9508324240705</v>
      </c>
      <c r="Q109" s="12">
        <v>916278457.14423788</v>
      </c>
      <c r="R109" s="13">
        <v>1744.5674638928692</v>
      </c>
      <c r="S109" s="12">
        <v>916487027.1914283</v>
      </c>
      <c r="T109" s="13">
        <v>968.75747268923078</v>
      </c>
      <c r="U109" s="12">
        <v>916503957.96820676</v>
      </c>
      <c r="V109" s="13">
        <v>858.56650693716392</v>
      </c>
    </row>
    <row r="111" spans="3:30" x14ac:dyDescent="0.3">
      <c r="C111" t="s">
        <v>351</v>
      </c>
      <c r="F111" s="2" t="s">
        <v>358</v>
      </c>
      <c r="I111" t="s">
        <v>359</v>
      </c>
    </row>
    <row r="112" spans="3:30" x14ac:dyDescent="0.3">
      <c r="C112" s="4"/>
      <c r="F112" t="s">
        <v>354</v>
      </c>
      <c r="G112" t="s">
        <v>355</v>
      </c>
    </row>
    <row r="113" spans="2:12" x14ac:dyDescent="0.3">
      <c r="B113" s="14"/>
      <c r="C113" s="15" t="s">
        <v>354</v>
      </c>
      <c r="D113" s="9" t="s">
        <v>355</v>
      </c>
      <c r="E113" t="s">
        <v>360</v>
      </c>
      <c r="F113">
        <v>11</v>
      </c>
      <c r="G113">
        <v>14</v>
      </c>
      <c r="I113" s="14"/>
      <c r="J113" s="15" t="s">
        <v>354</v>
      </c>
      <c r="K113" s="9" t="s">
        <v>355</v>
      </c>
      <c r="L113" t="s">
        <v>360</v>
      </c>
    </row>
    <row r="114" spans="2:12" x14ac:dyDescent="0.3">
      <c r="B114" s="10" t="s">
        <v>357</v>
      </c>
      <c r="C114">
        <f>AVERAGE(C105,E105,G105,I105,K105,M105,O105,Q105,S105,U105)</f>
        <v>10.999786937717536</v>
      </c>
      <c r="D114" s="11">
        <f>AVERAGE(D105,F105,H105,J105,L105,N105,P105,R105,T105,V105)</f>
        <v>14.072692837586875</v>
      </c>
      <c r="E114">
        <f>AVERAGE(D107,F107,H107,J107,L107,N107,P107,R107,T107,V107)</f>
        <v>3.3997378432624479</v>
      </c>
      <c r="I114" s="10" t="s">
        <v>357</v>
      </c>
      <c r="J114">
        <v>10.999248425130762</v>
      </c>
      <c r="K114" s="11">
        <v>14.39984534618543</v>
      </c>
      <c r="L114">
        <v>8.5798335111756572</v>
      </c>
    </row>
    <row r="115" spans="2:12" x14ac:dyDescent="0.3">
      <c r="B115" s="10" t="s">
        <v>352</v>
      </c>
      <c r="C115">
        <f>MIN(C105,E105,G105,I105,K105,M105,O105,Q105,S105,U105)</f>
        <v>10.997801739899826</v>
      </c>
      <c r="D115" s="11">
        <f>MIN(D105,F105,H105,J105,L105,N105,P105,R105,T105,V105)</f>
        <v>13.339655216672327</v>
      </c>
      <c r="E115" s="11">
        <f>MIN(D107,F107,H107,J107,L107,N107,P107,R107,T107,V107)</f>
        <v>2.959878836008091</v>
      </c>
      <c r="I115" s="10" t="s">
        <v>352</v>
      </c>
      <c r="J115">
        <v>10.994477331015542</v>
      </c>
      <c r="K115" s="11">
        <v>12.591319651784033</v>
      </c>
      <c r="L115">
        <v>7.7491532903948492</v>
      </c>
    </row>
    <row r="116" spans="2:12" x14ac:dyDescent="0.3">
      <c r="B116" s="10" t="s">
        <v>353</v>
      </c>
      <c r="C116">
        <f>MAX(C105,E105,G105,I105,K105,M105,O105,Q105,S105,U105)</f>
        <v>11.001026807057141</v>
      </c>
      <c r="D116" s="11">
        <f>MAX(D105,F105,H105,J105,L105,N105,P105,R105,T105,V105)</f>
        <v>15.237319544503407</v>
      </c>
      <c r="E116" s="11">
        <f>MAX(D107,F107,H107,J107,L107,N107,P107,R107,T107,V107)</f>
        <v>4.2192071311128299</v>
      </c>
      <c r="I116" s="10" t="s">
        <v>353</v>
      </c>
      <c r="J116">
        <v>11.00264784561983</v>
      </c>
      <c r="K116" s="11">
        <v>16.938115126434241</v>
      </c>
      <c r="L116">
        <v>9.6989610537075688</v>
      </c>
    </row>
    <row r="117" spans="2:12" x14ac:dyDescent="0.3">
      <c r="B117" s="12" t="s">
        <v>356</v>
      </c>
      <c r="C117" s="16">
        <f>C116-C115</f>
        <v>3.2250671573148537E-3</v>
      </c>
      <c r="D117" s="13">
        <f>D116-D115</f>
        <v>1.8976643278310803</v>
      </c>
      <c r="E117" s="13">
        <f>E116-E115</f>
        <v>1.2593282951047389</v>
      </c>
      <c r="I117" s="12" t="s">
        <v>356</v>
      </c>
      <c r="J117" s="16">
        <v>8.1705146042878596E-3</v>
      </c>
      <c r="K117" s="13">
        <v>4.3467954746502073</v>
      </c>
      <c r="L117">
        <v>1.9498077633127195</v>
      </c>
    </row>
    <row r="120" spans="2:12" x14ac:dyDescent="0.3">
      <c r="C120" s="18" t="s">
        <v>364</v>
      </c>
      <c r="D120" s="18"/>
      <c r="E120" s="18"/>
      <c r="F120" s="18"/>
      <c r="G120" s="18"/>
      <c r="H120" s="18"/>
      <c r="I120" s="18"/>
      <c r="J120" s="18"/>
    </row>
    <row r="121" spans="2:12" x14ac:dyDescent="0.3">
      <c r="C121" s="18"/>
      <c r="D121" s="18"/>
      <c r="E121" s="18"/>
      <c r="F121" s="18"/>
      <c r="G121" s="18"/>
      <c r="H121" s="18"/>
      <c r="I121" s="18"/>
      <c r="J121" s="18"/>
    </row>
    <row r="122" spans="2:12" x14ac:dyDescent="0.3">
      <c r="C122" s="18"/>
      <c r="D122" s="18"/>
      <c r="E122" s="18"/>
      <c r="F122" s="18"/>
      <c r="G122" s="18"/>
      <c r="H122" s="18"/>
      <c r="I122" s="18"/>
      <c r="J122" s="18"/>
    </row>
  </sheetData>
  <mergeCells count="1">
    <mergeCell ref="C120:J1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22"/>
  <sheetViews>
    <sheetView tabSelected="1" topLeftCell="A109" zoomScale="70" zoomScaleNormal="70" workbookViewId="0">
      <selection activeCell="I143" sqref="I143"/>
    </sheetView>
  </sheetViews>
  <sheetFormatPr defaultRowHeight="14.4" x14ac:dyDescent="0.3"/>
  <cols>
    <col min="1" max="1" width="16.109375" customWidth="1"/>
    <col min="3" max="3" width="15" customWidth="1"/>
    <col min="4" max="5" width="12" bestFit="1" customWidth="1"/>
  </cols>
  <sheetData>
    <row r="1" spans="1:27" x14ac:dyDescent="0.3">
      <c r="A1" s="3" t="s">
        <v>211</v>
      </c>
      <c r="C1" s="3" t="s">
        <v>217</v>
      </c>
    </row>
    <row r="2" spans="1:27" x14ac:dyDescent="0.3">
      <c r="A2" s="3"/>
      <c r="F2" t="s">
        <v>329</v>
      </c>
      <c r="G2" t="s">
        <v>331</v>
      </c>
      <c r="H2" t="s">
        <v>330</v>
      </c>
      <c r="I2" t="s">
        <v>332</v>
      </c>
      <c r="J2" t="s">
        <v>333</v>
      </c>
      <c r="K2" t="s">
        <v>334</v>
      </c>
      <c r="L2" t="s">
        <v>335</v>
      </c>
      <c r="M2" t="s">
        <v>336</v>
      </c>
      <c r="N2" t="s">
        <v>337</v>
      </c>
      <c r="O2" t="s">
        <v>338</v>
      </c>
      <c r="R2" t="s">
        <v>329</v>
      </c>
      <c r="S2" t="s">
        <v>331</v>
      </c>
      <c r="T2" t="s">
        <v>330</v>
      </c>
      <c r="U2" t="s">
        <v>332</v>
      </c>
      <c r="V2" t="s">
        <v>333</v>
      </c>
      <c r="W2" t="s">
        <v>334</v>
      </c>
      <c r="X2" t="s">
        <v>335</v>
      </c>
      <c r="Y2" t="s">
        <v>336</v>
      </c>
      <c r="Z2" t="s">
        <v>337</v>
      </c>
      <c r="AA2" t="s">
        <v>338</v>
      </c>
    </row>
    <row r="3" spans="1:27" x14ac:dyDescent="0.3">
      <c r="A3" s="1" t="s">
        <v>2</v>
      </c>
      <c r="B3" s="2">
        <v>14</v>
      </c>
      <c r="C3" s="4" t="s">
        <v>11</v>
      </c>
      <c r="D3" s="4" t="s">
        <v>5</v>
      </c>
      <c r="E3" s="4">
        <v>212</v>
      </c>
      <c r="F3">
        <f>$E3+'Станд.норм.распр.'!B3</f>
        <v>211.97188297129469</v>
      </c>
      <c r="G3">
        <f>$E3+'Станд.норм.распр.'!C3</f>
        <v>210.29828539077425</v>
      </c>
      <c r="H3">
        <f>$E3+'Станд.норм.распр.'!D3</f>
        <v>211.45848458082764</v>
      </c>
      <c r="I3">
        <f>$E3+'Станд.норм.распр.'!E3</f>
        <v>212.39923747863213</v>
      </c>
      <c r="J3">
        <f>$E3+'Станд.норм.распр.'!F3</f>
        <v>211.0599204718601</v>
      </c>
      <c r="K3">
        <f>$E3+'Станд.норм.распр.'!G3</f>
        <v>212.38157054405019</v>
      </c>
      <c r="L3">
        <f>$E3+'Станд.норм.распр.'!H3</f>
        <v>212.88259866970475</v>
      </c>
      <c r="M3">
        <f>$E3+'Станд.норм.распр.'!I3</f>
        <v>209.87773049320094</v>
      </c>
      <c r="N3">
        <f>$E3+'Станд.норм.распр.'!J3</f>
        <v>212.81152165876119</v>
      </c>
      <c r="O3">
        <f>$E3+'Станд.норм.распр.'!K3</f>
        <v>211.05335926086991</v>
      </c>
      <c r="P3" s="4" t="s">
        <v>218</v>
      </c>
      <c r="Q3" s="4" t="s">
        <v>5</v>
      </c>
      <c r="R3" s="2">
        <f>$B$3 + $B$4*F3 + ('Станд.норм.распр.'!B4 * $B$5)</f>
        <v>2344.4867554303491</v>
      </c>
      <c r="S3" s="2">
        <f>$B$3 + $B$4*G3 + ('Станд.норм.распр.'!C4 * $B$5)</f>
        <v>2345.8124303601799</v>
      </c>
      <c r="T3" s="2">
        <f>$B$3 + $B$4*H3 + ('Станд.норм.распр.'!D4 * $B$5)</f>
        <v>2358.4335861073632</v>
      </c>
      <c r="U3" s="2">
        <f>$B$3 + $B$4*I3 + ('Станд.норм.распр.'!E4 * $B$5)</f>
        <v>2362.1203013249178</v>
      </c>
      <c r="V3" s="2">
        <f>$B$3 + $B$4*J3 + ('Станд.норм.распр.'!F4 * $B$5)</f>
        <v>2342.7195280128508</v>
      </c>
      <c r="W3" s="2">
        <f>$B$3 + $B$4*K3 + ('Станд.норм.распр.'!G4 * $B$5)</f>
        <v>2341.9568378926633</v>
      </c>
      <c r="X3" s="2">
        <f>$B$3 + $B$4*L3 + ('Станд.норм.распр.'!H4 * $B$5)</f>
        <v>2347.9906994111661</v>
      </c>
      <c r="Y3" s="2">
        <f>$B$3 + $B$4*M3 + ('Станд.норм.распр.'!I4 * $B$5)</f>
        <v>2328.5193594915618</v>
      </c>
      <c r="Z3" s="2">
        <f>$B$3 + $B$4*N3 + ('Станд.норм.распр.'!J4 * $B$5)</f>
        <v>2355.3485959951067</v>
      </c>
      <c r="AA3" s="2">
        <f>$B$3 + $B$4*O3 + ('Станд.норм.распр.'!K4 * $B$5)</f>
        <v>2341.9190336085157</v>
      </c>
    </row>
    <row r="4" spans="1:27" x14ac:dyDescent="0.3">
      <c r="A4" s="1" t="s">
        <v>3</v>
      </c>
      <c r="B4" s="2">
        <v>11</v>
      </c>
      <c r="C4" s="4" t="s">
        <v>12</v>
      </c>
      <c r="D4" s="4" t="s">
        <v>5</v>
      </c>
      <c r="E4" s="4">
        <v>780</v>
      </c>
      <c r="F4">
        <f>$E4+'Станд.норм.распр.'!B4</f>
        <v>779.86622697178973</v>
      </c>
      <c r="G4">
        <f>$E4+'Станд.норм.распр.'!C4</f>
        <v>782.05903234018479</v>
      </c>
      <c r="H4">
        <f>$E4+'Станд.норм.распр.'!D4</f>
        <v>782.04336174647324</v>
      </c>
      <c r="I4">
        <f>$E4+'Станд.норм.распр.'!E4</f>
        <v>781.30318767332938</v>
      </c>
      <c r="J4">
        <f>$E4+'Станд.норм.распр.'!F4</f>
        <v>780.78448920248775</v>
      </c>
      <c r="K4">
        <f>$E4+'Станд.норм.распр.'!G4</f>
        <v>779.08439576756791</v>
      </c>
      <c r="L4">
        <f>$E4+'Станд.норм.распр.'!H4</f>
        <v>779.14245711604599</v>
      </c>
      <c r="M4">
        <f>$E4+'Станд.норм.распр.'!I4</f>
        <v>780.65159156292793</v>
      </c>
      <c r="N4">
        <f>$E4+'Станд.норм.распр.'!J4</f>
        <v>780.04687308319262</v>
      </c>
      <c r="O4">
        <f>$E4+'Станд.норм.распр.'!K4</f>
        <v>780.70356463766075</v>
      </c>
      <c r="P4" s="4" t="s">
        <v>230</v>
      </c>
      <c r="Q4" s="4" t="s">
        <v>5</v>
      </c>
      <c r="R4" s="2">
        <f>$B$3 + $B$4*F4 + ('Станд.норм.распр.'!B5 * $B$5)</f>
        <v>8586.781152968746</v>
      </c>
      <c r="S4" s="2">
        <f>$B$3 + $B$4*G4 + ('Станд.норм.распр.'!C5 * $B$5)</f>
        <v>8613.1818753592088</v>
      </c>
      <c r="T4" s="2">
        <f>$B$3 + $B$4*H4 + ('Станд.норм.распр.'!D5 * $B$5)</f>
        <v>8624.8895778289298</v>
      </c>
      <c r="U4" s="2">
        <f>$B$3 + $B$4*I4 + ('Станд.норм.распр.'!E5 * $B$5)</f>
        <v>8627.047826946131</v>
      </c>
      <c r="V4" s="2">
        <f>$B$3 + $B$4*J4 + ('Станд.норм.распр.'!F5 * $B$5)</f>
        <v>8605.9895810257731</v>
      </c>
      <c r="W4" s="2">
        <f>$B$3 + $B$4*K4 + ('Станд.норм.распр.'!G5 * $B$5)</f>
        <v>8583.4644531650556</v>
      </c>
      <c r="X4" s="2">
        <f>$B$3 + $B$4*L4 + ('Станд.норм.распр.'!H5 * $B$5)</f>
        <v>8596.2489508005674</v>
      </c>
      <c r="Y4" s="2">
        <f>$B$3 + $B$4*M4 + ('Станд.норм.распр.'!I5 * $B$5)</f>
        <v>8591.0264684634458</v>
      </c>
      <c r="Z4" s="2">
        <f>$B$3 + $B$4*N4 + ('Станд.норм.распр.'!J5 * $B$5)</f>
        <v>8585.3960073172348</v>
      </c>
      <c r="AA4" s="2">
        <f>$B$3 + $B$4*O4 + ('Станд.норм.распр.'!K5 * $B$5)</f>
        <v>8595.4229988209991</v>
      </c>
    </row>
    <row r="5" spans="1:27" x14ac:dyDescent="0.3">
      <c r="A5" s="1" t="s">
        <v>4</v>
      </c>
      <c r="B5" s="2">
        <v>9</v>
      </c>
      <c r="C5" s="4" t="s">
        <v>13</v>
      </c>
      <c r="D5" s="4" t="s">
        <v>5</v>
      </c>
      <c r="E5" s="4">
        <v>280</v>
      </c>
      <c r="F5">
        <f>$E5+'Станд.норм.распр.'!B5</f>
        <v>279.36140625322878</v>
      </c>
      <c r="G5">
        <f>$E5+'Станд.норм.распр.'!C5</f>
        <v>279.61472440190846</v>
      </c>
      <c r="H5">
        <f>$E5+'Станд.норм.распр.'!D5</f>
        <v>280.93473317974713</v>
      </c>
      <c r="I5">
        <f>$E5+'Станд.норм.распр.'!E5</f>
        <v>282.07919583772309</v>
      </c>
      <c r="J5">
        <f>$E5+'Станд.норм.распр.'!F5</f>
        <v>280.37335553315643</v>
      </c>
      <c r="K5">
        <f>$E5+'Станд.норм.распр.'!G5</f>
        <v>279.9484555246454</v>
      </c>
      <c r="L5">
        <f>$E5+'Станд.норм.распр.'!H5</f>
        <v>281.29799139156239</v>
      </c>
      <c r="M5">
        <f>$E5+'Станд.норм.распр.'!I5</f>
        <v>278.8732179190265</v>
      </c>
      <c r="N5">
        <f>$E5+'Станд.норм.распр.'!J5</f>
        <v>278.98671148912399</v>
      </c>
      <c r="O5">
        <f>$E5+'Станд.норм.распр.'!K5</f>
        <v>279.29819864519231</v>
      </c>
      <c r="P5" s="4" t="s">
        <v>231</v>
      </c>
      <c r="Q5" s="4" t="s">
        <v>5</v>
      </c>
      <c r="R5" s="2">
        <f>$B$3 + $B$4*F5 + ('Станд.норм.распр.'!B6 * $B$5)</f>
        <v>3078.9381322292174</v>
      </c>
      <c r="S5" s="2">
        <f>$B$3 + $B$4*G5 + ('Станд.норм.распр.'!C6 * $B$5)</f>
        <v>3109.0567166201654</v>
      </c>
      <c r="T5" s="2">
        <f>$B$3 + $B$4*H5 + ('Станд.норм.распр.'!D6 * $B$5)</f>
        <v>3104.0317743090272</v>
      </c>
      <c r="U5" s="2">
        <f>$B$3 + $B$4*I5 + ('Станд.норм.распр.'!E6 * $B$5)</f>
        <v>3114.128700271016</v>
      </c>
      <c r="V5" s="2">
        <f>$B$3 + $B$4*J5 + ('Станд.норм.распр.'!F6 * $B$5)</f>
        <v>3100.9838108629483</v>
      </c>
      <c r="W5" s="2">
        <f>$B$3 + $B$4*K5 + ('Станд.норм.распр.'!G6 * $B$5)</f>
        <v>3096.0566938019329</v>
      </c>
      <c r="X5" s="2">
        <f>$B$3 + $B$4*L5 + ('Станд.норм.распр.'!H6 * $B$5)</f>
        <v>3128.4895878747921</v>
      </c>
      <c r="Y5" s="2">
        <f>$B$3 + $B$4*M5 + ('Станд.норм.распр.'!I6 * $B$5)</f>
        <v>3084.4005449025135</v>
      </c>
      <c r="Z5" s="2">
        <f>$B$3 + $B$4*N5 + ('Станд.норм.распр.'!J6 * $B$5)</f>
        <v>3083.4729126026505</v>
      </c>
      <c r="AA5" s="2">
        <f>$B$3 + $B$4*O5 + ('Станд.норм.распр.'!K6 * $B$5)</f>
        <v>3086.6779162251478</v>
      </c>
    </row>
    <row r="6" spans="1:27" x14ac:dyDescent="0.3">
      <c r="C6" s="4" t="s">
        <v>14</v>
      </c>
      <c r="D6" s="4" t="s">
        <v>5</v>
      </c>
      <c r="E6" s="4">
        <v>888</v>
      </c>
      <c r="F6">
        <f>$E6+'Станд.норм.распр.'!B6</f>
        <v>887.10696260485565</v>
      </c>
      <c r="G6">
        <f>$E6+'Станд.норм.распр.'!C6</f>
        <v>890.14386091101915</v>
      </c>
      <c r="H6">
        <f>$E6+'Станд.норм.распр.'!D6</f>
        <v>887.97218992575654</v>
      </c>
      <c r="I6">
        <f>$E6+'Станд.норм.распр.'!E6</f>
        <v>887.695282895118</v>
      </c>
      <c r="J6">
        <f>$E6+'Станд.норм.распр.'!F6</f>
        <v>888.31965555535862</v>
      </c>
      <c r="K6">
        <f>$E6+'Станд.норм.распр.'!G6</f>
        <v>888.29152033675928</v>
      </c>
      <c r="L6">
        <f>$E6+'Станд.норм.распр.'!H6</f>
        <v>890.24574250751175</v>
      </c>
      <c r="M6">
        <f>$E6+'Станд.норм.распр.'!I6</f>
        <v>888.31057197702467</v>
      </c>
      <c r="N6">
        <f>$E6+'Станд.норм.распр.'!J6</f>
        <v>888.06878735803184</v>
      </c>
      <c r="O6">
        <f>$E6+'Станд.норм.распр.'!K6</f>
        <v>888.04419234755915</v>
      </c>
      <c r="P6" s="4" t="s">
        <v>232</v>
      </c>
      <c r="Q6" s="4" t="s">
        <v>5</v>
      </c>
      <c r="R6" s="2">
        <f>$B$3 + $B$4*F6 + ('Станд.норм.распр.'!B7 * $B$5)</f>
        <v>9772.2127274253871</v>
      </c>
      <c r="S6" s="2">
        <f>$B$3 + $B$4*G6 + ('Станд.норм.распр.'!C7 * $B$5)</f>
        <v>9806.2057001287321</v>
      </c>
      <c r="T6" s="2">
        <f>$B$3 + $B$4*H6 + ('Станд.норм.распр.'!D7 * $B$5)</f>
        <v>9785.8615178254986</v>
      </c>
      <c r="U6" s="2">
        <f>$B$3 + $B$4*I6 + ('Станд.норм.распр.'!E7 * $B$5)</f>
        <v>9778.3158438731625</v>
      </c>
      <c r="V6" s="2">
        <f>$B$3 + $B$4*J6 + ('Станд.норм.распр.'!F7 * $B$5)</f>
        <v>9787.4325380460796</v>
      </c>
      <c r="W6" s="2">
        <f>$B$3 + $B$4*K6 + ('Станд.норм.распр.'!G7 * $B$5)</f>
        <v>9784.4135943021975</v>
      </c>
      <c r="X6" s="2">
        <f>$B$3 + $B$4*L6 + ('Станд.норм.распр.'!H7 * $B$5)</f>
        <v>9804.3042570723919</v>
      </c>
      <c r="Y6" s="2">
        <f>$B$3 + $B$4*M6 + ('Станд.норм.распр.'!I7 * $B$5)</f>
        <v>9788.715295057802</v>
      </c>
      <c r="Z6" s="2">
        <f>$B$3 + $B$4*N6 + ('Станд.норм.распр.'!J7 * $B$5)</f>
        <v>9783.1389900919457</v>
      </c>
      <c r="AA6" s="2">
        <f>$B$3 + $B$4*O6 + ('Станд.норм.распр.'!K7 * $B$5)</f>
        <v>9796.2997623697738</v>
      </c>
    </row>
    <row r="7" spans="1:27" x14ac:dyDescent="0.3">
      <c r="C7" s="4" t="s">
        <v>15</v>
      </c>
      <c r="D7" s="4" t="s">
        <v>5</v>
      </c>
      <c r="E7" s="4">
        <v>314</v>
      </c>
      <c r="F7">
        <f>$E7+'Станд.норм.распр.'!B7</f>
        <v>314.00401541910833</v>
      </c>
      <c r="G7">
        <f>$E7+'Станд.норм.распр.'!C7</f>
        <v>314.06924778972461</v>
      </c>
      <c r="H7">
        <f>$E7+'Станд.норм.распр.'!D7</f>
        <v>314.46304762690852</v>
      </c>
      <c r="I7">
        <f>$E7+'Станд.норм.распр.'!E7</f>
        <v>313.96308133631828</v>
      </c>
      <c r="J7">
        <f>$E7+'Станд.норм.распр.'!F7</f>
        <v>314.21292521523719</v>
      </c>
      <c r="K7">
        <f>$E7+'Станд.норм.распр.'!G7</f>
        <v>313.91187451087171</v>
      </c>
      <c r="L7">
        <f>$E7+'Станд.норм.распр.'!H7</f>
        <v>313.73345438775141</v>
      </c>
      <c r="M7">
        <f>$E7+'Станд.норм.распр.'!I7</f>
        <v>314.3665559233923</v>
      </c>
      <c r="N7">
        <f>$E7+'Станд.норм.распр.'!J7</f>
        <v>314.04248101706617</v>
      </c>
      <c r="O7">
        <f>$E7+'Станд.норм.распр.'!K7</f>
        <v>315.53484961629147</v>
      </c>
      <c r="P7" s="4" t="s">
        <v>233</v>
      </c>
      <c r="Q7" s="4" t="s">
        <v>5</v>
      </c>
      <c r="R7" s="2">
        <f>$B$3 + $B$4*F7 + ('Станд.норм.распр.'!B8 * $B$5)</f>
        <v>3460.5940369394084</v>
      </c>
      <c r="S7" s="2">
        <f>$B$3 + $B$4*G7 + ('Станд.норм.распр.'!C8 * $B$5)</f>
        <v>3452.361803626598</v>
      </c>
      <c r="T7" s="2">
        <f>$B$3 + $B$4*H7 + ('Станд.норм.распр.'!D8 * $B$5)</f>
        <v>3478.3030424725148</v>
      </c>
      <c r="U7" s="2">
        <f>$B$3 + $B$4*I7 + ('Станд.норм.распр.'!E8 * $B$5)</f>
        <v>3459.1128452367848</v>
      </c>
      <c r="V7" s="2">
        <f>$B$3 + $B$4*J7 + ('Станд.норм.распр.'!F8 * $B$5)</f>
        <v>3475.7631773365283</v>
      </c>
      <c r="W7" s="2">
        <f>$B$3 + $B$4*K7 + ('Станд.норм.распр.'!G8 * $B$5)</f>
        <v>3468.7494929832319</v>
      </c>
      <c r="X7" s="2">
        <f>$B$3 + $B$4*L7 + ('Станд.норм.распр.'!H8 * $B$5)</f>
        <v>3463.1833490285935</v>
      </c>
      <c r="Y7" s="2">
        <f>$B$3 + $B$4*M7 + ('Станд.норм.распр.'!I8 * $B$5)</f>
        <v>3464.8597148836125</v>
      </c>
      <c r="Z7" s="2">
        <f>$B$3 + $B$4*N7 + ('Станд.норм.распр.'!J8 * $B$5)</f>
        <v>3460.8972211768851</v>
      </c>
      <c r="AA7" s="2">
        <f>$B$3 + $B$4*O7 + ('Станд.норм.распр.'!K8 * $B$5)</f>
        <v>3493.137412649201</v>
      </c>
    </row>
    <row r="8" spans="1:27" x14ac:dyDescent="0.3">
      <c r="C8" s="4" t="s">
        <v>16</v>
      </c>
      <c r="D8" s="4" t="s">
        <v>5</v>
      </c>
      <c r="E8" s="4">
        <v>780</v>
      </c>
      <c r="F8">
        <f>$E8+'Станд.норм.распр.'!B8</f>
        <v>779.17220748102409</v>
      </c>
      <c r="G8">
        <f>$E8+'Станд.норм.распр.'!C8</f>
        <v>778.17778643773636</v>
      </c>
      <c r="H8">
        <f>$E8+'Станд.норм.распр.'!D8</f>
        <v>780.57883539739123</v>
      </c>
      <c r="I8">
        <f>$E8+'Станд.норм.распр.'!E8</f>
        <v>779.0576611708093</v>
      </c>
      <c r="J8">
        <f>$E8+'Станд.норм.распр.'!F8</f>
        <v>780.60233332987991</v>
      </c>
      <c r="K8">
        <f>$E8+'Станд.норм.распр.'!G8</f>
        <v>780.19098592929367</v>
      </c>
      <c r="L8">
        <f>$E8+'Станд.норм.распр.'!H8</f>
        <v>779.79059452925867</v>
      </c>
      <c r="M8">
        <f>$E8+'Станд.норм.распр.'!I8</f>
        <v>779.20306663625524</v>
      </c>
      <c r="N8">
        <f>$E8+'Станд.норм.распр.'!J8</f>
        <v>779.15888110990636</v>
      </c>
      <c r="O8">
        <f>$E8+'Станд.норм.распр.'!K8</f>
        <v>780.91711854111054</v>
      </c>
      <c r="P8" s="4" t="s">
        <v>234</v>
      </c>
      <c r="Q8" s="4" t="s">
        <v>5</v>
      </c>
      <c r="R8" s="2">
        <f>$B$3 + $B$4*F8 + ('Станд.норм.распр.'!B9 * $B$5)</f>
        <v>8596.5525150704198</v>
      </c>
      <c r="S8" s="2">
        <f>$B$3 + $B$4*G8 + ('Станд.норм.распр.'!C9 * $B$5)</f>
        <v>8565.7005402999348</v>
      </c>
      <c r="T8" s="2">
        <f>$B$3 + $B$4*H8 + ('Станд.норм.распр.'!D9 * $B$5)</f>
        <v>8608.484845678453</v>
      </c>
      <c r="U8" s="2">
        <f>$B$3 + $B$4*I8 + ('Станд.норм.распр.'!E9 * $B$5)</f>
        <v>8593.8878206497466</v>
      </c>
      <c r="V8" s="2">
        <f>$B$3 + $B$4*J8 + ('Станд.норм.распр.'!F9 * $B$5)</f>
        <v>8602.8999638592213</v>
      </c>
      <c r="W8" s="2">
        <f>$B$3 + $B$4*K8 + ('Станд.норм.распр.'!G9 * $B$5)</f>
        <v>8595.4465513231698</v>
      </c>
      <c r="X8" s="2">
        <f>$B$3 + $B$4*L8 + ('Станд.норм.распр.'!H9 * $B$5)</f>
        <v>8596.8816555186495</v>
      </c>
      <c r="Y8" s="2">
        <f>$B$3 + $B$4*M8 + ('Станд.норм.распр.'!I9 * $B$5)</f>
        <v>8590.7765631936345</v>
      </c>
      <c r="Z8" s="2">
        <f>$B$3 + $B$4*N8 + ('Станд.норм.распр.'!J9 * $B$5)</f>
        <v>8591.4384604684019</v>
      </c>
      <c r="AA8" s="2">
        <f>$B$3 + $B$4*O8 + ('Станд.норм.распр.'!K9 * $B$5)</f>
        <v>8605.8647108138248</v>
      </c>
    </row>
    <row r="9" spans="1:27" x14ac:dyDescent="0.3">
      <c r="C9" s="4" t="s">
        <v>17</v>
      </c>
      <c r="D9" s="4" t="s">
        <v>5</v>
      </c>
      <c r="E9" s="4">
        <v>993</v>
      </c>
      <c r="F9">
        <f>$E9+'Станд.норм.распр.'!B9</f>
        <v>994.29535919768387</v>
      </c>
      <c r="G9">
        <f>$E9+'Станд.норм.распр.'!C9</f>
        <v>992.08276549831498</v>
      </c>
      <c r="H9">
        <f>$E9+'Станд.норм.распр.'!D9</f>
        <v>993.90196181190549</v>
      </c>
      <c r="I9">
        <f>$E9+'Станд.норм.распр.'!E9</f>
        <v>994.13928308564937</v>
      </c>
      <c r="J9">
        <f>$E9+'Станд.норм.распр.'!F9</f>
        <v>993.25269969228248</v>
      </c>
      <c r="K9">
        <f>$E9+'Станд.норм.распр.'!G9</f>
        <v>992.92730067788216</v>
      </c>
      <c r="L9">
        <f>$E9+'Станд.норм.распр.'!H9</f>
        <v>993.57612396631157</v>
      </c>
      <c r="M9">
        <f>$E9+'Станд.норм.распр.'!I9</f>
        <v>993.61587002164742</v>
      </c>
      <c r="N9">
        <f>$E9+'Станд.норм.распр.'!J9</f>
        <v>993.74341869549244</v>
      </c>
      <c r="O9">
        <f>$E9+'Станд.норм.распр.'!K9</f>
        <v>993.19737854017876</v>
      </c>
      <c r="P9" s="4" t="s">
        <v>235</v>
      </c>
      <c r="Q9" s="4" t="s">
        <v>5</v>
      </c>
      <c r="R9" s="2">
        <f>$B$3 + $B$4*F9 + ('Станд.норм.распр.'!B10 * $B$5)</f>
        <v>10954.244939272132</v>
      </c>
      <c r="S9" s="2">
        <f>$B$3 + $B$4*G9 + ('Станд.норм.распр.'!C10 * $B$5)</f>
        <v>10907.447870509815</v>
      </c>
      <c r="T9" s="2">
        <f>$B$3 + $B$4*H9 + ('Станд.норм.распр.'!D10 * $B$5)</f>
        <v>10940.37696292263</v>
      </c>
      <c r="U9" s="2">
        <f>$B$3 + $B$4*I9 + ('Станд.норм.распр.'!E10 * $B$5)</f>
        <v>10953.543057199669</v>
      </c>
      <c r="V9" s="2">
        <f>$B$3 + $B$4*J9 + ('Станд.норм.распр.'!F10 * $B$5)</f>
        <v>10940.000376409545</v>
      </c>
      <c r="W9" s="2">
        <f>$B$3 + $B$4*K9 + ('Станд.норм.распр.'!G10 * $B$5)</f>
        <v>10952.453914556929</v>
      </c>
      <c r="X9" s="2">
        <f>$B$3 + $B$4*L9 + ('Станд.норм.распр.'!H10 * $B$5)</f>
        <v>10955.805096715369</v>
      </c>
      <c r="Y9" s="2">
        <f>$B$3 + $B$4*M9 + ('Станд.норм.распр.'!I10 * $B$5)</f>
        <v>10946.394661901752</v>
      </c>
      <c r="Z9" s="2">
        <f>$B$3 + $B$4*N9 + ('Станд.норм.распр.'!J10 * $B$5)</f>
        <v>10952.654184471729</v>
      </c>
      <c r="AA9" s="2">
        <f>$B$3 + $B$4*O9 + ('Станд.норм.распр.'!K10 * $B$5)</f>
        <v>10929.034013303055</v>
      </c>
    </row>
    <row r="10" spans="1:27" x14ac:dyDescent="0.3">
      <c r="C10" s="4" t="s">
        <v>18</v>
      </c>
      <c r="D10" s="4" t="s">
        <v>5</v>
      </c>
      <c r="E10" s="4">
        <v>326</v>
      </c>
      <c r="F10">
        <f>$E10+'Станд.норм.распр.'!B10</f>
        <v>326.33288756640104</v>
      </c>
      <c r="G10">
        <f>$E10+'Станд.норм.распр.'!C10</f>
        <v>323.83749444759451</v>
      </c>
      <c r="H10">
        <f>$E10+'Станд.норм.распр.'!D10</f>
        <v>325.27282033240772</v>
      </c>
      <c r="I10">
        <f>$E10+'Станд.норм.распр.'!E10</f>
        <v>326.44566036194738</v>
      </c>
      <c r="J10">
        <f>$E10+'Станд.норм.распр.'!F10</f>
        <v>326.0245199771598</v>
      </c>
      <c r="K10">
        <f>$E10+'Станд.норм.распр.'!G10</f>
        <v>327.80595634446945</v>
      </c>
      <c r="L10">
        <f>$E10+'Станд.норм.распр.'!H10</f>
        <v>327.3853036762157</v>
      </c>
      <c r="M10">
        <f>$E10+'Станд.норм.распр.'!I10</f>
        <v>326.29112129595887</v>
      </c>
      <c r="N10">
        <f>$E10+'Станд.норм.распр.'!J10</f>
        <v>326.83073098014574</v>
      </c>
      <c r="O10">
        <f>$E10+'Станд.норм.распр.'!K10</f>
        <v>324.87364992900984</v>
      </c>
      <c r="P10" s="4" t="s">
        <v>236</v>
      </c>
      <c r="Q10" s="4" t="s">
        <v>5</v>
      </c>
      <c r="R10" s="2">
        <f>$B$3 + $B$4*F10 + ('Станд.норм.распр.'!B11 * $B$5)</f>
        <v>3609.9226110705786</v>
      </c>
      <c r="S10" s="2">
        <f>$B$3 + $B$4*G10 + ('Станд.норм.распр.'!C11 * $B$5)</f>
        <v>3573.7342523076222</v>
      </c>
      <c r="T10" s="2">
        <f>$B$3 + $B$4*H10 + ('Станд.норм.распр.'!D11 * $B$5)</f>
        <v>3585.9455181194789</v>
      </c>
      <c r="U10" s="2">
        <f>$B$3 + $B$4*I10 + ('Станд.норм.распр.'!E11 * $B$5)</f>
        <v>3605.2979282827437</v>
      </c>
      <c r="V10" s="2">
        <f>$B$3 + $B$4*J10 + ('Станд.норм.распр.'!F11 * $B$5)</f>
        <v>3598.0586346737255</v>
      </c>
      <c r="W10" s="2">
        <f>$B$3 + $B$4*K10 + ('Станд.норм.распр.'!G11 * $B$5)</f>
        <v>3629.4882761409099</v>
      </c>
      <c r="X10" s="2">
        <f>$B$3 + $B$4*L10 + ('Станд.норм.распр.'!H11 * $B$5)</f>
        <v>3627.1645853899827</v>
      </c>
      <c r="Y10" s="2">
        <f>$B$3 + $B$4*M10 + ('Станд.норм.распр.'!I11 * $B$5)</f>
        <v>3610.38042341861</v>
      </c>
      <c r="Z10" s="2">
        <f>$B$3 + $B$4*N10 + ('Станд.норм.распр.'!J11 * $B$5)</f>
        <v>3619.3299111692468</v>
      </c>
      <c r="AA10" s="2">
        <f>$B$3 + $B$4*O10 + ('Станд.норм.распр.'!K11 * $B$5)</f>
        <v>3590.6950620243151</v>
      </c>
    </row>
    <row r="11" spans="1:27" x14ac:dyDescent="0.3">
      <c r="C11" s="4" t="s">
        <v>19</v>
      </c>
      <c r="D11" s="4" t="s">
        <v>5</v>
      </c>
      <c r="E11" s="4">
        <v>906</v>
      </c>
      <c r="F11">
        <f>$E11+'Станд.норм.распр.'!B11</f>
        <v>906.69564976001857</v>
      </c>
      <c r="G11">
        <f>$E11+'Станд.норм.распр.'!C11</f>
        <v>905.72464593156474</v>
      </c>
      <c r="H11">
        <f>$E11+'Станд.норм.распр.'!D11</f>
        <v>905.32716605144378</v>
      </c>
      <c r="I11">
        <f>$E11+'Станд.норм.распр.'!E11</f>
        <v>906.04396270014695</v>
      </c>
      <c r="J11">
        <f>$E11+'Станд.норм.распр.'!F11</f>
        <v>905.75432388055196</v>
      </c>
      <c r="K11">
        <f>$E11+'Станд.норм.распр.'!G11</f>
        <v>907.06919515019399</v>
      </c>
      <c r="L11">
        <f>$E11+'Станд.норм.распр.'!H11</f>
        <v>907.32513832795667</v>
      </c>
      <c r="M11">
        <f>$E11+'Станд.норм.распр.'!I11</f>
        <v>906.79756546256249</v>
      </c>
      <c r="N11">
        <f>$E11+'Станд.норм.распр.'!J11</f>
        <v>907.13243004307151</v>
      </c>
      <c r="O11">
        <f>$E11+'Станд.норм.распр.'!K11</f>
        <v>906.34276808946743</v>
      </c>
      <c r="P11" s="4" t="s">
        <v>237</v>
      </c>
      <c r="Q11" s="4" t="s">
        <v>5</v>
      </c>
      <c r="R11" s="2">
        <f>$B$3 + $B$4*F11 + ('Станд.норм.распр.'!B12 * $B$5)</f>
        <v>9990.0417878456938</v>
      </c>
      <c r="S11" s="2">
        <f>$B$3 + $B$4*G11 + ('Станд.норм.распр.'!C12 * $B$5)</f>
        <v>9957.6626873426721</v>
      </c>
      <c r="T11" s="2">
        <f>$B$3 + $B$4*H11 + ('Станд.норм.распр.'!D12 * $B$5)</f>
        <v>9977.1917861785187</v>
      </c>
      <c r="U11" s="2">
        <f>$B$3 + $B$4*I11 + ('Станд.норм.распр.'!E12 * $B$5)</f>
        <v>9993.998590020492</v>
      </c>
      <c r="V11" s="2">
        <f>$B$3 + $B$4*J11 + ('Станд.норм.распр.'!F12 * $B$5)</f>
        <v>9982.4428970846202</v>
      </c>
      <c r="W11" s="2">
        <f>$B$3 + $B$4*K11 + ('Станд.норм.распр.'!G12 * $B$5)</f>
        <v>10000.110021523578</v>
      </c>
      <c r="X11" s="2">
        <f>$B$3 + $B$4*L11 + ('Станд.норм.распр.'!H12 * $B$5)</f>
        <v>10017.87166406255</v>
      </c>
      <c r="Y11" s="2">
        <f>$B$3 + $B$4*M11 + ('Станд.норм.распр.'!I12 * $B$5)</f>
        <v>9999.5259576685203</v>
      </c>
      <c r="Z11" s="2">
        <f>$B$3 + $B$4*N11 + ('Станд.норм.распр.'!J12 * $B$5)</f>
        <v>9993.3148523673299</v>
      </c>
      <c r="AA11" s="2">
        <f>$B$3 + $B$4*O11 + ('Станд.норм.распр.'!K12 * $B$5)</f>
        <v>9981.1273664313194</v>
      </c>
    </row>
    <row r="12" spans="1:27" x14ac:dyDescent="0.3">
      <c r="C12" s="4" t="s">
        <v>20</v>
      </c>
      <c r="D12" s="4" t="s">
        <v>5</v>
      </c>
      <c r="E12" s="4">
        <v>790</v>
      </c>
      <c r="F12">
        <f>$E12+'Станд.норм.распр.'!B12</f>
        <v>790.26551560949883</v>
      </c>
      <c r="G12">
        <f>$E12+'Станд.норм.распр.'!C12</f>
        <v>787.85462023282889</v>
      </c>
      <c r="H12">
        <f>$E12+'Станд.норм.распр.'!D12</f>
        <v>790.51032884584856</v>
      </c>
      <c r="I12">
        <f>$E12+'Станд.норм.распр.'!E12</f>
        <v>791.50166670209728</v>
      </c>
      <c r="J12">
        <f>$E12+'Станд.норм.распр.'!F12</f>
        <v>790.57170382206095</v>
      </c>
      <c r="K12">
        <f>$E12+'Станд.норм.распр.'!G12</f>
        <v>790.92765276349382</v>
      </c>
      <c r="L12">
        <f>$E12+'Станд.норм.распр.'!H12</f>
        <v>792.58834916166961</v>
      </c>
      <c r="M12">
        <f>$E12+'Станд.норм.распр.'!I12</f>
        <v>791.19474862003699</v>
      </c>
      <c r="N12">
        <f>$E12+'Станд.норм.распр.'!J12</f>
        <v>790.09534687706036</v>
      </c>
      <c r="O12">
        <f>$E12+'Станд.норм.распр.'!K12</f>
        <v>789.70632416079752</v>
      </c>
      <c r="P12" s="4" t="s">
        <v>238</v>
      </c>
      <c r="Q12" s="4" t="s">
        <v>5</v>
      </c>
      <c r="R12" s="2">
        <f>$B$3 + $B$4*F12 + ('Станд.норм.распр.'!B13 * $B$5)</f>
        <v>8704.8010079000087</v>
      </c>
      <c r="S12" s="2">
        <f>$B$3 + $B$4*G12 + ('Станд.норм.распр.'!C13 * $B$5)</f>
        <v>8671.88320459018</v>
      </c>
      <c r="T12" s="2">
        <f>$B$3 + $B$4*H12 + ('Станд.норм.распр.'!D13 * $B$5)</f>
        <v>8709.0304038268223</v>
      </c>
      <c r="U12" s="2">
        <f>$B$3 + $B$4*I12 + ('Станд.норм.распр.'!E13 * $B$5)</f>
        <v>8715.2672432805994</v>
      </c>
      <c r="V12" s="2">
        <f>$B$3 + $B$4*J12 + ('Станд.норм.распр.'!F13 * $B$5)</f>
        <v>8715.2567181531631</v>
      </c>
      <c r="W12" s="2">
        <f>$B$3 + $B$4*K12 + ('Станд.норм.распр.'!G13 * $B$5)</f>
        <v>8706.5326107788715</v>
      </c>
      <c r="X12" s="2">
        <f>$B$3 + $B$4*L12 + ('Станд.норм.распр.'!H13 * $B$5)</f>
        <v>8734.3769024867506</v>
      </c>
      <c r="Y12" s="2">
        <f>$B$3 + $B$4*M12 + ('Станд.норм.распр.'!I13 * $B$5)</f>
        <v>8739.0838308804668</v>
      </c>
      <c r="Z12" s="2">
        <f>$B$3 + $B$4*N12 + ('Станд.норм.распр.'!J13 * $B$5)</f>
        <v>8701.3577905620914</v>
      </c>
      <c r="AA12" s="2">
        <f>$B$3 + $B$4*O12 + ('Станд.норм.распр.'!K13 * $B$5)</f>
        <v>8699.6412830215413</v>
      </c>
    </row>
    <row r="13" spans="1:27" x14ac:dyDescent="0.3">
      <c r="C13" s="4" t="s">
        <v>21</v>
      </c>
      <c r="D13" s="4" t="s">
        <v>5</v>
      </c>
      <c r="E13" s="4">
        <v>127</v>
      </c>
      <c r="F13">
        <f>$E13+'Станд.норм.распр.'!B13</f>
        <v>126.76448179950239</v>
      </c>
      <c r="G13">
        <f>$E13+'Станд.норм.распр.'!C13</f>
        <v>126.05359800322913</v>
      </c>
      <c r="H13">
        <f>$E13+'Станд.норм.распр.'!D13</f>
        <v>126.93519850249868</v>
      </c>
      <c r="I13">
        <f>$E13+'Станд.норм.распр.'!E13</f>
        <v>126.41654550639214</v>
      </c>
      <c r="J13">
        <f>$E13+'Станд.норм.распр.'!F13</f>
        <v>127.55199734561029</v>
      </c>
      <c r="K13">
        <f>$E13+'Станд.норм.распр.'!G13</f>
        <v>126.14760337560438</v>
      </c>
      <c r="L13">
        <f>$E13+'Станд.норм.распр.'!H13</f>
        <v>127.21167352315388</v>
      </c>
      <c r="M13">
        <f>$E13+'Станд.норм.распр.'!I13</f>
        <v>129.43795511778444</v>
      </c>
      <c r="N13">
        <f>$E13+'Станд.норм.распр.'!J13</f>
        <v>126.58988610160304</v>
      </c>
      <c r="O13">
        <f>$E13+'Станд.норм.распр.'!K13</f>
        <v>126.87463525030762</v>
      </c>
      <c r="P13" s="4" t="s">
        <v>239</v>
      </c>
      <c r="Q13" s="4" t="s">
        <v>5</v>
      </c>
      <c r="R13" s="2">
        <f>$B$3 + $B$4*F13 + ('Станд.норм.распр.'!B14 * $B$5)</f>
        <v>1405.6834418551589</v>
      </c>
      <c r="S13" s="2">
        <f>$B$3 + $B$4*G13 + ('Станд.норм.распр.'!C14 * $B$5)</f>
        <v>1394.521988724533</v>
      </c>
      <c r="T13" s="2">
        <f>$B$3 + $B$4*H13 + ('Станд.норм.распр.'!D14 * $B$5)</f>
        <v>1410.3185133462248</v>
      </c>
      <c r="U13" s="2">
        <f>$B$3 + $B$4*I13 + ('Станд.норм.распр.'!E14 * $B$5)</f>
        <v>1407.0158834255708</v>
      </c>
      <c r="V13" s="2">
        <f>$B$3 + $B$4*J13 + ('Станд.норм.распр.'!F14 * $B$5)</f>
        <v>1421.6759193840844</v>
      </c>
      <c r="W13" s="2">
        <f>$B$3 + $B$4*K13 + ('Станд.норм.распр.'!G14 * $B$5)</f>
        <v>1392.2579039826232</v>
      </c>
      <c r="X13" s="2">
        <f>$B$3 + $B$4*L13 + ('Станд.норм.распр.'!H14 * $B$5)</f>
        <v>1417.435387831516</v>
      </c>
      <c r="Y13" s="2">
        <f>$B$3 + $B$4*M13 + ('Станд.норм.распр.'!I14 * $B$5)</f>
        <v>1431.4933644454286</v>
      </c>
      <c r="Z13" s="2">
        <f>$B$3 + $B$4*N13 + ('Станд.норм.распр.'!J14 * $B$5)</f>
        <v>1398.3431170271942</v>
      </c>
      <c r="AA13" s="2">
        <f>$B$3 + $B$4*O13 + ('Станд.норм.распр.'!K14 * $B$5)</f>
        <v>1409.3513998813578</v>
      </c>
    </row>
    <row r="14" spans="1:27" x14ac:dyDescent="0.3">
      <c r="C14" s="4" t="s">
        <v>22</v>
      </c>
      <c r="D14" s="4" t="s">
        <v>5</v>
      </c>
      <c r="E14" s="4">
        <v>685</v>
      </c>
      <c r="F14">
        <f>$E14+'Станд.норм.распр.'!B14</f>
        <v>684.69712689562584</v>
      </c>
      <c r="G14">
        <f>$E14+'Станд.норм.распр.'!C14</f>
        <v>684.32582340989029</v>
      </c>
      <c r="H14">
        <f>$E14+'Станд.норм.распр.'!D14</f>
        <v>685.00348109097104</v>
      </c>
      <c r="I14">
        <f>$E14+'Станд.норм.распр.'!E14</f>
        <v>685.27043142836192</v>
      </c>
      <c r="J14">
        <f>$E14+'Станд.норм.распр.'!F14</f>
        <v>685.51154984248569</v>
      </c>
      <c r="K14">
        <f>$E14+'Станд.норм.распр.'!G14</f>
        <v>683.95936298344168</v>
      </c>
      <c r="L14">
        <f>$E14+'Станд.норм.распр.'!H14</f>
        <v>685.45633100853593</v>
      </c>
      <c r="M14">
        <f>$E14+'Станд.норм.распр.'!I14</f>
        <v>684.29731757219997</v>
      </c>
      <c r="N14">
        <f>$E14+'Станд.норм.распр.'!J14</f>
        <v>684.0949299899512</v>
      </c>
      <c r="O14">
        <f>$E14+'Станд.норм.распр.'!K14</f>
        <v>684.97004579199711</v>
      </c>
      <c r="P14" s="4" t="s">
        <v>240</v>
      </c>
      <c r="Q14" s="4" t="s">
        <v>5</v>
      </c>
      <c r="R14" s="2">
        <f>$B$3 + $B$4*F14 + ('Станд.норм.распр.'!B15 * $B$5)</f>
        <v>7546.9877679834317</v>
      </c>
      <c r="S14" s="2">
        <f>$B$3 + $B$4*G14 + ('Станд.норм.распр.'!C15 * $B$5)</f>
        <v>7559.1452906164923</v>
      </c>
      <c r="T14" s="2">
        <f>$B$3 + $B$4*H14 + ('Станд.норм.распр.'!D15 * $B$5)</f>
        <v>7554.2421114560275</v>
      </c>
      <c r="U14" s="2">
        <f>$B$3 + $B$4*I14 + ('Станд.норм.распр.'!E15 * $B$5)</f>
        <v>7553.8960043841362</v>
      </c>
      <c r="V14" s="2">
        <f>$B$3 + $B$4*J14 + ('Станд.норм.распр.'!F15 * $B$5)</f>
        <v>7539.3291745795286</v>
      </c>
      <c r="W14" s="2">
        <f>$B$3 + $B$4*K14 + ('Станд.норм.распр.'!G15 * $B$5)</f>
        <v>7549.8381698535231</v>
      </c>
      <c r="X14" s="2">
        <f>$B$3 + $B$4*L14 + ('Станд.норм.распр.'!H15 * $B$5)</f>
        <v>7550.6447105735861</v>
      </c>
      <c r="Y14" s="2">
        <f>$B$3 + $B$4*M14 + ('Станд.норм.распр.'!I15 * $B$5)</f>
        <v>7557.517060905433</v>
      </c>
      <c r="Z14" s="2">
        <f>$B$3 + $B$4*N14 + ('Станд.норм.распр.'!J15 * $B$5)</f>
        <v>7537.3793088883976</v>
      </c>
      <c r="AA14" s="2">
        <f>$B$3 + $B$4*O14 + ('Станд.норм.распр.'!K15 * $B$5)</f>
        <v>7545.744286363537</v>
      </c>
    </row>
    <row r="15" spans="1:27" x14ac:dyDescent="0.3">
      <c r="C15" s="4" t="s">
        <v>23</v>
      </c>
      <c r="D15" s="4" t="s">
        <v>5</v>
      </c>
      <c r="E15" s="4">
        <v>320</v>
      </c>
      <c r="F15">
        <f>$E15+'Станд.норм.распр.'!B15</f>
        <v>320.14659690350527</v>
      </c>
      <c r="G15">
        <f>$E15+'Станд.норм.распр.'!C15</f>
        <v>321.95124812307768</v>
      </c>
      <c r="H15">
        <f>$E15+'Станд.норм.распр.'!D15</f>
        <v>320.57820216170512</v>
      </c>
      <c r="I15">
        <f>$E15+'Станд.норм.распр.'!E15</f>
        <v>320.21347318579501</v>
      </c>
      <c r="J15">
        <f>$E15+'Станд.норм.распр.'!F15</f>
        <v>318.30023625690956</v>
      </c>
      <c r="K15">
        <f>$E15+'Станд.норм.распр.'!G15</f>
        <v>321.36501967062941</v>
      </c>
      <c r="L15">
        <f>$E15+'Станд.норм.распр.'!H15</f>
        <v>319.62500771996565</v>
      </c>
      <c r="M15">
        <f>$E15+'Станд.норм.распр.'!I15</f>
        <v>321.80517417902593</v>
      </c>
      <c r="N15">
        <f>$E15+'Станд.норм.распр.'!J15</f>
        <v>319.81500877765939</v>
      </c>
      <c r="O15">
        <f>$E15+'Станд.норм.распр.'!K15</f>
        <v>319.6748647390632</v>
      </c>
      <c r="P15" s="4" t="s">
        <v>241</v>
      </c>
      <c r="Q15" s="4" t="s">
        <v>5</v>
      </c>
      <c r="R15" s="2">
        <f>$B$3 + $B$4*F15 + ('Станд.норм.распр.'!B16 * $B$5)</f>
        <v>3535.6707440408936</v>
      </c>
      <c r="S15" s="2">
        <f>$B$3 + $B$4*G15 + ('Станд.норм.распр.'!C16 * $B$5)</f>
        <v>3558.5391572661902</v>
      </c>
      <c r="T15" s="2">
        <f>$B$3 + $B$4*H15 + ('Станд.норм.распр.'!D16 * $B$5)</f>
        <v>3540.2455865190714</v>
      </c>
      <c r="U15" s="2">
        <f>$B$3 + $B$4*I15 + ('Станд.норм.распр.'!E16 * $B$5)</f>
        <v>3525.1866450474918</v>
      </c>
      <c r="V15" s="2">
        <f>$B$3 + $B$4*J15 + ('Станд.норм.распр.'!F16 * $B$5)</f>
        <v>3531.3158810462337</v>
      </c>
      <c r="W15" s="2">
        <f>$B$3 + $B$4*K15 + ('Станд.норм.распр.'!G16 * $B$5)</f>
        <v>3554.6038953365351</v>
      </c>
      <c r="X15" s="2">
        <f>$B$3 + $B$4*L15 + ('Станд.норм.распр.'!H16 * $B$5)</f>
        <v>3530.4610609872907</v>
      </c>
      <c r="Y15" s="2">
        <f>$B$3 + $B$4*M15 + ('Станд.норм.распр.'!I16 * $B$5)</f>
        <v>3549.3718508499878</v>
      </c>
      <c r="Z15" s="2">
        <f>$B$3 + $B$4*N15 + ('Станд.норм.распр.'!J16 * $B$5)</f>
        <v>3527.845890458033</v>
      </c>
      <c r="AA15" s="2">
        <f>$B$3 + $B$4*O15 + ('Станд.норм.распр.'!K16 * $B$5)</f>
        <v>3541.1608201324125</v>
      </c>
    </row>
    <row r="16" spans="1:27" x14ac:dyDescent="0.3">
      <c r="C16" s="4" t="s">
        <v>24</v>
      </c>
      <c r="D16" s="4" t="s">
        <v>5</v>
      </c>
      <c r="E16" s="4">
        <v>658</v>
      </c>
      <c r="F16">
        <f>$E16+'Станд.норм.распр.'!B16</f>
        <v>658.00646423359285</v>
      </c>
      <c r="G16">
        <f>$E16+'Станд.норм.распр.'!C16</f>
        <v>658.34171421248175</v>
      </c>
      <c r="H16">
        <f>$E16+'Станд.норм.распр.'!D16</f>
        <v>657.98726252670167</v>
      </c>
      <c r="I16">
        <f>$E16+'Станд.норм.распр.'!E16</f>
        <v>656.75982666708296</v>
      </c>
      <c r="J16">
        <f>$E16+'Станд.норм.распр.'!F16</f>
        <v>659.7792535800254</v>
      </c>
      <c r="K16">
        <f>$E16+'Станд.норм.распр.'!G16</f>
        <v>658.62096432884573</v>
      </c>
      <c r="L16">
        <f>$E16+'Станд.норм.распр.'!H16</f>
        <v>658.06510845196317</v>
      </c>
      <c r="M16">
        <f>$E16+'Станд.норм.распр.'!I16</f>
        <v>657.50165943118918</v>
      </c>
      <c r="N16">
        <f>$E16+'Станд.норм.распр.'!J16</f>
        <v>657.5423104337533</v>
      </c>
      <c r="O16">
        <f>$E16+'Станд.норм.распр.'!K16</f>
        <v>659.19303422252415</v>
      </c>
      <c r="P16" s="4" t="s">
        <v>242</v>
      </c>
      <c r="Q16" s="4" t="s">
        <v>5</v>
      </c>
      <c r="R16" s="2">
        <f>$B$3 + $B$4*F16 + ('Станд.норм.распр.'!B17 * $B$5)</f>
        <v>7250.1737903453904</v>
      </c>
      <c r="S16" s="2">
        <f>$B$3 + $B$4*G16 + ('Станд.норм.распр.'!C17 * $B$5)</f>
        <v>7256.5125932501833</v>
      </c>
      <c r="T16" s="2">
        <f>$B$3 + $B$4*H16 + ('Станд.норм.распр.'!D17 * $B$5)</f>
        <v>7249.8420203206042</v>
      </c>
      <c r="U16" s="2">
        <f>$B$3 + $B$4*I16 + ('Станд.норм.распр.'!E17 * $B$5)</f>
        <v>7242.4070887168928</v>
      </c>
      <c r="V16" s="2">
        <f>$B$3 + $B$4*J16 + ('Станд.норм.распр.'!F17 * $B$5)</f>
        <v>7262.4395257949363</v>
      </c>
      <c r="W16" s="2">
        <f>$B$3 + $B$4*K16 + ('Станд.норм.распр.'!G17 * $B$5)</f>
        <v>7259.0127236995177</v>
      </c>
      <c r="X16" s="2">
        <f>$B$3 + $B$4*L16 + ('Станд.норм.распр.'!H17 * $B$5)</f>
        <v>7253.4692443528475</v>
      </c>
      <c r="Y16" s="2">
        <f>$B$3 + $B$4*M16 + ('Станд.норм.распр.'!I17 * $B$5)</f>
        <v>7245.7700420105102</v>
      </c>
      <c r="Z16" s="2">
        <f>$B$3 + $B$4*N16 + ('Станд.норм.распр.'!J17 * $B$5)</f>
        <v>7245.5073810775066</v>
      </c>
      <c r="AA16" s="2">
        <f>$B$3 + $B$4*O16 + ('Станд.норм.распр.'!K17 * $B$5)</f>
        <v>7263.9235794954584</v>
      </c>
    </row>
    <row r="17" spans="3:27" x14ac:dyDescent="0.3">
      <c r="C17" s="4" t="s">
        <v>25</v>
      </c>
      <c r="D17" s="4" t="s">
        <v>5</v>
      </c>
      <c r="E17" s="4">
        <v>436</v>
      </c>
      <c r="F17">
        <f>$E17+'Станд.норм.распр.'!B17</f>
        <v>435.78918708620768</v>
      </c>
      <c r="G17">
        <f>$E17+'Станд.норм.распр.'!C17</f>
        <v>436.08374854587601</v>
      </c>
      <c r="H17">
        <f>$E17+'Станд.норм.распр.'!D17</f>
        <v>435.77579250298731</v>
      </c>
      <c r="I17">
        <f>$E17+'Станд.норм.распр.'!E17</f>
        <v>436.44988837544224</v>
      </c>
      <c r="J17">
        <f>$E17+'Станд.норм.распр.'!F17</f>
        <v>434.985304046073</v>
      </c>
      <c r="K17">
        <f>$E17+'Станд.норм.распр.'!G17</f>
        <v>436.02023512024607</v>
      </c>
      <c r="L17">
        <f>$E17+'Станд.норм.распр.'!H17</f>
        <v>436.08367237569473</v>
      </c>
      <c r="M17">
        <f>$E17+'Станд.норм.распр.'!I17</f>
        <v>435.91686536304769</v>
      </c>
      <c r="N17">
        <f>$E17+'Станд.норм.распр.'!J17</f>
        <v>435.8379962562467</v>
      </c>
      <c r="O17">
        <f>$E17+'Станд.норм.распр.'!K17</f>
        <v>435.86668922752142</v>
      </c>
      <c r="P17" s="4" t="s">
        <v>243</v>
      </c>
      <c r="Q17" s="4" t="s">
        <v>5</v>
      </c>
      <c r="R17" s="2">
        <f>$B$3 + $B$4*F17 + ('Станд.норм.распр.'!B18 * $B$5)</f>
        <v>4805.5946475438395</v>
      </c>
      <c r="S17" s="2">
        <f>$B$3 + $B$4*G17 + ('Станд.норм.распр.'!C18 * $B$5)</f>
        <v>4812.7088753995486</v>
      </c>
      <c r="T17" s="2">
        <f>$B$3 + $B$4*H17 + ('Станд.норм.распр.'!D18 * $B$5)</f>
        <v>4816.4160383317358</v>
      </c>
      <c r="U17" s="2">
        <f>$B$3 + $B$4*I17 + ('Станд.норм.распр.'!E18 * $B$5)</f>
        <v>4816.1742673551635</v>
      </c>
      <c r="V17" s="2">
        <f>$B$3 + $B$4*J17 + ('Станд.норм.распр.'!F18 * $B$5)</f>
        <v>4803.9407666715852</v>
      </c>
      <c r="W17" s="2">
        <f>$B$3 + $B$4*K17 + ('Станд.норм.распр.'!G18 * $B$5)</f>
        <v>4804.7320918636251</v>
      </c>
      <c r="X17" s="2">
        <f>$B$3 + $B$4*L17 + ('Станд.норм.распр.'!H18 * $B$5)</f>
        <v>4800.6393994933605</v>
      </c>
      <c r="Y17" s="2">
        <f>$B$3 + $B$4*M17 + ('Станд.норм.распр.'!I18 * $B$5)</f>
        <v>4814.0920281207946</v>
      </c>
      <c r="Z17" s="2">
        <f>$B$3 + $B$4*N17 + ('Станд.норм.распр.'!J18 * $B$5)</f>
        <v>4797.8060430091864</v>
      </c>
      <c r="AA17" s="2">
        <f>$B$3 + $B$4*O17 + ('Станд.норм.распр.'!K18 * $B$5)</f>
        <v>4807.4011446384538</v>
      </c>
    </row>
    <row r="18" spans="3:27" x14ac:dyDescent="0.3">
      <c r="C18" s="4" t="s">
        <v>26</v>
      </c>
      <c r="D18" s="4" t="s">
        <v>5</v>
      </c>
      <c r="E18" s="4">
        <v>686</v>
      </c>
      <c r="F18">
        <f>$E18+'Станд.норм.распр.'!B18</f>
        <v>685.76817662172834</v>
      </c>
      <c r="G18">
        <f>$E18+'Станд.норм.распр.'!C18</f>
        <v>686.19862682165694</v>
      </c>
      <c r="H18">
        <f>$E18+'Станд.норм.распр.'!D18</f>
        <v>686.98692453320837</v>
      </c>
      <c r="I18">
        <f>$E18+'Станд.норм.распр.'!E18</f>
        <v>686.13616613614431</v>
      </c>
      <c r="J18">
        <f>$E18+'Станд.норм.распр.'!F18</f>
        <v>686.56693579608691</v>
      </c>
      <c r="K18">
        <f>$E18+'Станд.норм.распр.'!G18</f>
        <v>685.38994506010204</v>
      </c>
      <c r="L18">
        <f>$E18+'Станд.норм.распр.'!H18</f>
        <v>684.85766704007983</v>
      </c>
      <c r="M18">
        <f>$E18+'Станд.норм.распр.'!I18</f>
        <v>686.55627879191888</v>
      </c>
      <c r="N18">
        <f>$E18+'Станд.норм.распр.'!J18</f>
        <v>684.84312046560808</v>
      </c>
      <c r="O18">
        <f>$E18+'Станд.норм.распр.'!K18</f>
        <v>685.87417368174647</v>
      </c>
      <c r="P18" s="4" t="s">
        <v>244</v>
      </c>
      <c r="Q18" s="4" t="s">
        <v>5</v>
      </c>
      <c r="R18" s="2">
        <f>$B$3 + $B$4*F18 + ('Станд.норм.распр.'!B19 * $B$5)</f>
        <v>7565.3325334192778</v>
      </c>
      <c r="S18" s="2">
        <f>$B$3 + $B$4*G18 + ('Станд.норм.распр.'!C19 * $B$5)</f>
        <v>7564.0097597775457</v>
      </c>
      <c r="T18" s="2">
        <f>$B$3 + $B$4*H18 + ('Станд.норм.распр.'!D19 * $B$5)</f>
        <v>7578.0816732608946</v>
      </c>
      <c r="U18" s="2">
        <f>$B$3 + $B$4*I18 + ('Станд.норм.распр.'!E19 * $B$5)</f>
        <v>7566.8488213855744</v>
      </c>
      <c r="V18" s="2">
        <f>$B$3 + $B$4*J18 + ('Станд.норм.распр.'!F19 * $B$5)</f>
        <v>7549.4941860020626</v>
      </c>
      <c r="W18" s="2">
        <f>$B$3 + $B$4*K18 + ('Станд.норм.распр.'!G19 * $B$5)</f>
        <v>7563.0659771255159</v>
      </c>
      <c r="X18" s="2">
        <f>$B$3 + $B$4*L18 + ('Станд.норм.распр.'!H19 * $B$5)</f>
        <v>7542.0005200995365</v>
      </c>
      <c r="Y18" s="2">
        <f>$B$3 + $B$4*M18 + ('Станд.норм.распр.'!I19 * $B$5)</f>
        <v>7564.9734308049665</v>
      </c>
      <c r="Z18" s="2">
        <f>$B$3 + $B$4*N18 + ('Станд.норм.распр.'!J19 * $B$5)</f>
        <v>7539.293263550062</v>
      </c>
      <c r="AA18" s="2">
        <f>$B$3 + $B$4*O18 + ('Станд.норм.распр.'!K19 * $B$5)</f>
        <v>7562.3872144083725</v>
      </c>
    </row>
    <row r="19" spans="3:27" x14ac:dyDescent="0.3">
      <c r="C19" s="4" t="s">
        <v>27</v>
      </c>
      <c r="D19" s="4" t="s">
        <v>5</v>
      </c>
      <c r="E19" s="4">
        <v>797</v>
      </c>
      <c r="F19">
        <f>$E19+'Станд.норм.распр.'!B19</f>
        <v>797.87584339780733</v>
      </c>
      <c r="G19">
        <f>$E19+'Станд.норм.распр.'!C19</f>
        <v>797.20276274881326</v>
      </c>
      <c r="H19">
        <f>$E19+'Станд.норм.распр.'!D19</f>
        <v>797.80283371062251</v>
      </c>
      <c r="I19">
        <f>$E19+'Станд.норм.распр.'!E19</f>
        <v>797.594554876443</v>
      </c>
      <c r="J19">
        <f>$E19+'Станд.норм.распр.'!F19</f>
        <v>795.13976580501185</v>
      </c>
      <c r="K19">
        <f>$E19+'Станд.норм.распр.'!G19</f>
        <v>798.08628682937706</v>
      </c>
      <c r="L19">
        <f>$E19+'Станд.норм.распр.'!H19</f>
        <v>796.39624251762871</v>
      </c>
      <c r="M19">
        <f>$E19+'Станд.норм.распр.'!I19</f>
        <v>796.87270712153986</v>
      </c>
      <c r="N19">
        <f>$E19+'Станд.норм.распр.'!J19</f>
        <v>796.11321538093034</v>
      </c>
      <c r="O19">
        <f>$E19+'Станд.норм.распр.'!K19</f>
        <v>797.4190337676846</v>
      </c>
      <c r="P19" s="4" t="s">
        <v>245</v>
      </c>
      <c r="Q19" s="4" t="s">
        <v>5</v>
      </c>
      <c r="R19" s="2">
        <f>$B$3 + $B$4*F19 + ('Станд.норм.распр.'!B20 * $B$5)</f>
        <v>8784.3813284971984</v>
      </c>
      <c r="S19" s="2">
        <f>$B$3 + $B$4*G19 + ('Станд.норм.распр.'!C20 * $B$5)</f>
        <v>8784.3739388527465</v>
      </c>
      <c r="T19" s="2">
        <f>$B$3 + $B$4*H19 + ('Станд.норм.распр.'!D20 * $B$5)</f>
        <v>8789.0332017660112</v>
      </c>
      <c r="U19" s="2">
        <f>$B$3 + $B$4*I19 + ('Станд.норм.распр.'!E20 * $B$5)</f>
        <v>8790.6535120519547</v>
      </c>
      <c r="V19" s="2">
        <f>$B$3 + $B$4*J19 + ('Станд.норм.распр.'!F20 * $B$5)</f>
        <v>8746.7572148812178</v>
      </c>
      <c r="W19" s="2">
        <f>$B$3 + $B$4*K19 + ('Станд.норм.распр.'!G20 * $B$5)</f>
        <v>8793.2958908832516</v>
      </c>
      <c r="X19" s="2">
        <f>$B$3 + $B$4*L19 + ('Станд.норм.распр.'!H20 * $B$5)</f>
        <v>8792.0464478944195</v>
      </c>
      <c r="Y19" s="2">
        <f>$B$3 + $B$4*M19 + ('Станд.норм.распр.'!I20 * $B$5)</f>
        <v>8778.569966581068</v>
      </c>
      <c r="Z19" s="2">
        <f>$B$3 + $B$4*N19 + ('Станд.норм.распр.'!J20 * $B$5)</f>
        <v>8771.46949710646</v>
      </c>
      <c r="AA19" s="2">
        <f>$B$3 + $B$4*O19 + ('Станд.норм.распр.'!K20 * $B$5)</f>
        <v>8779.4141300046758</v>
      </c>
    </row>
    <row r="20" spans="3:27" x14ac:dyDescent="0.3">
      <c r="C20" s="4" t="s">
        <v>28</v>
      </c>
      <c r="D20" s="4" t="s">
        <v>5</v>
      </c>
      <c r="E20" s="4">
        <v>464</v>
      </c>
      <c r="F20">
        <f>$E20+'Станд.норм.распр.'!B20</f>
        <v>463.30522790236864</v>
      </c>
      <c r="G20">
        <f>$E20+'Станд.норм.распр.'!C20</f>
        <v>464.12706095731119</v>
      </c>
      <c r="H20">
        <f>$E20+'Станд.норм.распр.'!D20</f>
        <v>463.91133677212929</v>
      </c>
      <c r="I20">
        <f>$E20+'Станд.норм.распр.'!E20</f>
        <v>464.34593426789797</v>
      </c>
      <c r="J20">
        <f>$E20+'Станд.норм.распр.'!F20</f>
        <v>462.46886566956528</v>
      </c>
      <c r="K20">
        <f>$E20+'Станд.норм.распр.'!G20</f>
        <v>464.0385261955671</v>
      </c>
      <c r="L20">
        <f>$E20+'Станд.норм.распр.'!H20</f>
        <v>465.96530891116709</v>
      </c>
      <c r="M20">
        <f>$E20+'Станд.норм.распр.'!I20</f>
        <v>463.88557647156995</v>
      </c>
      <c r="N20">
        <f>$E20+'Станд.норм.распр.'!J20</f>
        <v>464.02490310180292</v>
      </c>
      <c r="O20">
        <f>$E20+'Станд.норм.распр.'!K20</f>
        <v>463.31163984001614</v>
      </c>
      <c r="P20" s="4" t="s">
        <v>246</v>
      </c>
      <c r="Q20" s="4" t="s">
        <v>5</v>
      </c>
      <c r="R20" s="2">
        <f>$B$3 + $B$4*F20 + ('Станд.норм.распр.'!B21 * $B$5)</f>
        <v>5103.6340173209901</v>
      </c>
      <c r="S20" s="2">
        <f>$B$3 + $B$4*G20 + ('Станд.норм.распр.'!C21 * $B$5)</f>
        <v>5104.6116741031874</v>
      </c>
      <c r="T20" s="2">
        <f>$B$3 + $B$4*H20 + ('Станд.норм.распр.'!D21 * $B$5)</f>
        <v>5121.3994194836851</v>
      </c>
      <c r="U20" s="2">
        <f>$B$3 + $B$4*I20 + ('Станд.норм.распр.'!E21 * $B$5)</f>
        <v>5123.4863028253749</v>
      </c>
      <c r="V20" s="2">
        <f>$B$3 + $B$4*J20 + ('Станд.норм.распр.'!F21 * $B$5)</f>
        <v>5105.330322710477</v>
      </c>
      <c r="W20" s="2">
        <f>$B$3 + $B$4*K20 + ('Станд.норм.распр.'!G21 * $B$5)</f>
        <v>5120.5080703380809</v>
      </c>
      <c r="X20" s="2">
        <f>$B$3 + $B$4*L20 + ('Станд.норм.распр.'!H21 * $B$5)</f>
        <v>5137.971723440889</v>
      </c>
      <c r="Y20" s="2">
        <f>$B$3 + $B$4*M20 + ('Станд.норм.распр.'!I21 * $B$5)</f>
        <v>5114.0248453589884</v>
      </c>
      <c r="Z20" s="2">
        <f>$B$3 + $B$4*N20 + ('Станд.норм.распр.'!J21 * $B$5)</f>
        <v>5126.0629854437575</v>
      </c>
      <c r="AA20" s="2">
        <f>$B$3 + $B$4*O20 + ('Станд.норм.распр.'!K21 * $B$5)</f>
        <v>5124.7046130425297</v>
      </c>
    </row>
    <row r="21" spans="3:27" x14ac:dyDescent="0.3">
      <c r="C21" s="4" t="s">
        <v>29</v>
      </c>
      <c r="D21" s="4" t="s">
        <v>5</v>
      </c>
      <c r="E21" s="4">
        <v>514</v>
      </c>
      <c r="F21">
        <f>$E21+'Станд.норм.распр.'!B21</f>
        <v>513.25294559943723</v>
      </c>
      <c r="G21">
        <f>$E21+'Станд.норм.распр.'!C21</f>
        <v>512.35711150808493</v>
      </c>
      <c r="H21">
        <f>$E21+'Станд.норм.распр.'!D21</f>
        <v>514.48607944336254</v>
      </c>
      <c r="I21">
        <f>$E21+'Станд.норм.распр.'!E21</f>
        <v>514.18678065316635</v>
      </c>
      <c r="J21">
        <f>$E21+'Станд.норм.распр.'!F21</f>
        <v>514.46364448280656</v>
      </c>
      <c r="K21">
        <f>$E21+'Станд.норм.распр.'!G21</f>
        <v>514.2315869096492</v>
      </c>
      <c r="L21">
        <f>$E21+'Станд.норм.распр.'!H21</f>
        <v>513.81703615756123</v>
      </c>
      <c r="M21">
        <f>$E21+'Станд.норм.распр.'!I21</f>
        <v>513.698167130191</v>
      </c>
      <c r="N21">
        <f>$E21+'Станд.норм.распр.'!J21</f>
        <v>514.86545014710282</v>
      </c>
      <c r="O21">
        <f>$E21+'Станд.норм.распр.'!K21</f>
        <v>515.58628608915024</v>
      </c>
      <c r="P21" s="4" t="s">
        <v>247</v>
      </c>
      <c r="Q21" s="4" t="s">
        <v>5</v>
      </c>
      <c r="R21" s="2">
        <f>$B$3 + $B$4*F21 + ('Станд.норм.распр.'!B22 * $B$5)</f>
        <v>5655.5819958106149</v>
      </c>
      <c r="S21" s="2">
        <f>$B$3 + $B$4*G21 + ('Станд.норм.распр.'!C22 * $B$5)</f>
        <v>5657.9594035923656</v>
      </c>
      <c r="T21" s="2">
        <f>$B$3 + $B$4*H21 + ('Станд.норм.распр.'!D22 * $B$5)</f>
        <v>5667.9242368176056</v>
      </c>
      <c r="U21" s="2">
        <f>$B$3 + $B$4*I21 + ('Станд.норм.распр.'!E22 * $B$5)</f>
        <v>5668.5553806659009</v>
      </c>
      <c r="V21" s="2">
        <f>$B$3 + $B$4*J21 + ('Станд.норм.распр.'!F22 * $B$5)</f>
        <v>5657.5760996423778</v>
      </c>
      <c r="W21" s="2">
        <f>$B$3 + $B$4*K21 + ('Станд.норм.распр.'!G22 * $B$5)</f>
        <v>5678.3105185189634</v>
      </c>
      <c r="X21" s="2">
        <f>$B$3 + $B$4*L21 + ('Станд.норм.распр.'!H22 * $B$5)</f>
        <v>5664.4462919302023</v>
      </c>
      <c r="Y21" s="2">
        <f>$B$3 + $B$4*M21 + ('Станд.норм.распр.'!I22 * $B$5)</f>
        <v>5663.8846422032366</v>
      </c>
      <c r="Z21" s="2">
        <f>$B$3 + $B$4*N21 + ('Станд.норм.распр.'!J22 * $B$5)</f>
        <v>5670.1730988919444</v>
      </c>
      <c r="AA21" s="2">
        <f>$B$3 + $B$4*O21 + ('Станд.норм.распр.'!K22 * $B$5)</f>
        <v>5692.2924511439924</v>
      </c>
    </row>
    <row r="22" spans="3:27" x14ac:dyDescent="0.3">
      <c r="C22" s="4" t="s">
        <v>30</v>
      </c>
      <c r="D22" s="4" t="s">
        <v>5</v>
      </c>
      <c r="E22" s="4">
        <v>724</v>
      </c>
      <c r="F22">
        <f>$E22+'Станд.норм.распр.'!B22</f>
        <v>723.53328824631171</v>
      </c>
      <c r="G22">
        <f>$E22+'Станд.норм.распр.'!C22</f>
        <v>724.89235300038126</v>
      </c>
      <c r="H22">
        <f>$E22+'Станд.норм.распр.'!D22</f>
        <v>723.39748477117973</v>
      </c>
      <c r="I22">
        <f>$E22+'Станд.норм.распр.'!E22</f>
        <v>723.83342149789678</v>
      </c>
      <c r="J22">
        <f>$E22+'Станд.норм.распр.'!F22</f>
        <v>722.27511225905619</v>
      </c>
      <c r="K22">
        <f>$E22+'Станд.норм.распр.'!G22</f>
        <v>724.86256250142469</v>
      </c>
      <c r="L22">
        <f>$E22+'Станд.норм.распр.'!H22</f>
        <v>723.82876602189208</v>
      </c>
      <c r="M22">
        <f>$E22+'Станд.норм.распр.'!I22</f>
        <v>723.91164486345951</v>
      </c>
      <c r="N22">
        <f>$E22+'Станд.норм.распр.'!J22</f>
        <v>723.18368303042371</v>
      </c>
      <c r="O22">
        <f>$E22+'Станд.норм.распр.'!K22</f>
        <v>724.76036712925998</v>
      </c>
      <c r="P22" s="4" t="s">
        <v>248</v>
      </c>
      <c r="Q22" s="4" t="s">
        <v>5</v>
      </c>
      <c r="R22" s="2">
        <f>$B$3 + $B$4*F22 + ('Станд.норм.распр.'!B23 * $B$5)</f>
        <v>7977.4991776475217</v>
      </c>
      <c r="S22" s="2">
        <f>$B$3 + $B$4*G22 + ('Станд.норм.распр.'!C23 * $B$5)</f>
        <v>7994.0015270012082</v>
      </c>
      <c r="T22" s="2">
        <f>$B$3 + $B$4*H22 + ('Станд.норм.распр.'!D23 * $B$5)</f>
        <v>7965.4901129714999</v>
      </c>
      <c r="U22" s="2">
        <f>$B$3 + $B$4*I22 + ('Станд.норм.распр.'!E23 * $B$5)</f>
        <v>7969.8593539405265</v>
      </c>
      <c r="V22" s="2">
        <f>$B$3 + $B$4*J22 + ('Станд.норм.распр.'!F23 * $B$5)</f>
        <v>7963.0577133606421</v>
      </c>
      <c r="W22" s="2">
        <f>$B$3 + $B$4*K22 + ('Станд.норм.распр.'!G23 * $B$5)</f>
        <v>7991.2091918203514</v>
      </c>
      <c r="X22" s="2">
        <f>$B$3 + $B$4*L22 + ('Станд.норм.распр.'!H23 * $B$5)</f>
        <v>7973.3891153836594</v>
      </c>
      <c r="Y22" s="2">
        <f>$B$3 + $B$4*M22 + ('Станд.норм.распр.'!I23 * $B$5)</f>
        <v>7962.1510748410656</v>
      </c>
      <c r="Z22" s="2">
        <f>$B$3 + $B$4*N22 + ('Станд.норм.распр.'!J23 * $B$5)</f>
        <v>7966.4879343881039</v>
      </c>
      <c r="AA22" s="2">
        <f>$B$3 + $B$4*O22 + ('Станд.норм.распр.'!K23 * $B$5)</f>
        <v>7977.3632945916033</v>
      </c>
    </row>
    <row r="23" spans="3:27" x14ac:dyDescent="0.3">
      <c r="C23" s="4" t="s">
        <v>31</v>
      </c>
      <c r="D23" s="4" t="s">
        <v>5</v>
      </c>
      <c r="E23" s="4">
        <v>63</v>
      </c>
      <c r="F23">
        <f>$E23+'Станд.норм.распр.'!B23</f>
        <v>63.514778548676986</v>
      </c>
      <c r="G23">
        <f>$E23+'Станд.норм.распр.'!C23</f>
        <v>63.68729377744603</v>
      </c>
      <c r="H23">
        <f>$E23+'Станд.норм.распр.'!D23</f>
        <v>62.346420054280316</v>
      </c>
      <c r="I23">
        <f>$E23+'Станд.норм.распр.'!E23</f>
        <v>62.299079718184657</v>
      </c>
      <c r="J23">
        <f>$E23+'Станд.норм.распр.'!F23</f>
        <v>63.447942056780448</v>
      </c>
      <c r="K23">
        <f>$E23+'Станд.норм.распр.'!G23</f>
        <v>63.413444922742201</v>
      </c>
      <c r="L23">
        <f>$E23+'Станд.норм.распр.'!H23</f>
        <v>62.696965460316278</v>
      </c>
      <c r="M23">
        <f>$E23+'Станд.норм.распр.'!I23</f>
        <v>61.346997927001212</v>
      </c>
      <c r="N23">
        <f>$E23+'Станд.норм.распр.'!J23</f>
        <v>62.718602339271456</v>
      </c>
      <c r="O23">
        <f>$E23+'Станд.норм.распр.'!K23</f>
        <v>61.999917352193734</v>
      </c>
      <c r="P23" s="4" t="s">
        <v>249</v>
      </c>
      <c r="Q23" s="4" t="s">
        <v>5</v>
      </c>
      <c r="R23" s="2">
        <f>$B$3 + $B$4*F23 + ('Станд.норм.распр.'!B24 * $B$5)</f>
        <v>718.38376546805375</v>
      </c>
      <c r="S23" s="2">
        <f>$B$3 + $B$4*G23 + ('Станд.норм.распр.'!C24 * $B$5)</f>
        <v>718.84450752589328</v>
      </c>
      <c r="T23" s="2">
        <f>$B$3 + $B$4*H23 + ('Станд.норм.распр.'!D24 * $B$5)</f>
        <v>686.57192022113304</v>
      </c>
      <c r="U23" s="2">
        <f>$B$3 + $B$4*I23 + ('Станд.норм.распр.'!E24 * $B$5)</f>
        <v>711.37197286373703</v>
      </c>
      <c r="V23" s="2">
        <f>$B$3 + $B$4*J23 + ('Станд.норм.распр.'!F24 * $B$5)</f>
        <v>714.15548367224983</v>
      </c>
      <c r="W23" s="2">
        <f>$B$3 + $B$4*K23 + ('Станд.норм.распр.'!G24 * $B$5)</f>
        <v>714.48790398574783</v>
      </c>
      <c r="X23" s="2">
        <f>$B$3 + $B$4*L23 + ('Станд.норм.распр.'!H24 * $B$5)</f>
        <v>700.42209712264605</v>
      </c>
      <c r="Y23" s="2">
        <f>$B$3 + $B$4*M23 + ('Станд.норм.распр.'!I24 * $B$5)</f>
        <v>667.99482359568356</v>
      </c>
      <c r="Z23" s="2">
        <f>$B$3 + $B$4*N23 + ('Станд.норм.распр.'!J24 * $B$5)</f>
        <v>702.21939457736153</v>
      </c>
      <c r="AA23" s="2">
        <f>$B$3 + $B$4*O23 + ('Станд.норм.распр.'!K24 * $B$5)</f>
        <v>706.84804844643804</v>
      </c>
    </row>
    <row r="24" spans="3:27" x14ac:dyDescent="0.3">
      <c r="C24" s="4" t="s">
        <v>32</v>
      </c>
      <c r="D24" s="4" t="s">
        <v>5</v>
      </c>
      <c r="E24" s="4">
        <v>298</v>
      </c>
      <c r="F24">
        <f>$E24+'Станд.норм.распр.'!B24</f>
        <v>298.63568904806743</v>
      </c>
      <c r="G24">
        <f>$E24+'Станд.норм.распр.'!C24</f>
        <v>298.47603066377633</v>
      </c>
      <c r="H24">
        <f>$E24+'Станд.норм.распр.'!D24</f>
        <v>296.52903329156106</v>
      </c>
      <c r="I24">
        <f>$E24+'Станд.норм.распр.'!E24</f>
        <v>299.34245510707842</v>
      </c>
      <c r="J24">
        <f>$E24+'Станд.норм.распр.'!F24</f>
        <v>298.2475690052961</v>
      </c>
      <c r="K24">
        <f>$E24+'Станд.норм.распр.'!G24</f>
        <v>298.32666775950929</v>
      </c>
      <c r="L24">
        <f>$E24+'Станд.норм.распр.'!H24</f>
        <v>297.63949745101854</v>
      </c>
      <c r="M24">
        <f>$E24+'Станд.норм.распр.'!I24</f>
        <v>295.68642737763003</v>
      </c>
      <c r="N24">
        <f>$E24+'Станд.норм.распр.'!J24</f>
        <v>297.81275209393061</v>
      </c>
      <c r="O24">
        <f>$E24+'Станд.норм.распр.'!K24</f>
        <v>299.20543973025633</v>
      </c>
      <c r="P24" s="4" t="s">
        <v>250</v>
      </c>
      <c r="Q24" s="4" t="s">
        <v>5</v>
      </c>
      <c r="R24" s="2">
        <f>$B$3 + $B$4*F24 + ('Станд.норм.распр.'!B25 * $B$5)</f>
        <v>3291.5152711562696</v>
      </c>
      <c r="S24" s="2">
        <f>$B$3 + $B$4*G24 + ('Станд.норм.распр.'!C25 * $B$5)</f>
        <v>3305.4527306272503</v>
      </c>
      <c r="T24" s="2">
        <f>$B$3 + $B$4*H24 + ('Станд.норм.распр.'!D25 * $B$5)</f>
        <v>3285.1697311694734</v>
      </c>
      <c r="U24" s="2">
        <f>$B$3 + $B$4*I24 + ('Станд.норм.распр.'!E25 * $B$5)</f>
        <v>3303.7360661988641</v>
      </c>
      <c r="V24" s="2">
        <f>$B$3 + $B$4*J24 + ('Станд.норм.распр.'!F25 * $B$5)</f>
        <v>3307.7936665345915</v>
      </c>
      <c r="W24" s="2">
        <f>$B$3 + $B$4*K24 + ('Станд.норм.распр.'!G25 * $B$5)</f>
        <v>3296.9976824811893</v>
      </c>
      <c r="X24" s="2">
        <f>$B$3 + $B$4*L24 + ('Станд.норм.распр.'!H25 * $B$5)</f>
        <v>3294.6150026415708</v>
      </c>
      <c r="Y24" s="2">
        <f>$B$3 + $B$4*M24 + ('Станд.норм.распр.'!I25 * $B$5)</f>
        <v>3275.1115178494656</v>
      </c>
      <c r="Z24" s="2">
        <f>$B$3 + $B$4*N24 + ('Станд.норм.распр.'!J25 * $B$5)</f>
        <v>3290.9358562743437</v>
      </c>
      <c r="AA24" s="2">
        <f>$B$3 + $B$4*O24 + ('Станд.норм.распр.'!K25 * $B$5)</f>
        <v>3292.4998219083063</v>
      </c>
    </row>
    <row r="25" spans="3:27" x14ac:dyDescent="0.3">
      <c r="C25" s="4" t="s">
        <v>33</v>
      </c>
      <c r="D25" s="4" t="s">
        <v>5</v>
      </c>
      <c r="E25" s="4">
        <v>689</v>
      </c>
      <c r="F25">
        <f>$E25+'Станд.норм.распр.'!B25</f>
        <v>688.1691879586142</v>
      </c>
      <c r="G25">
        <f>$E25+'Станд.норм.распр.'!C25</f>
        <v>689.91293259174563</v>
      </c>
      <c r="H25">
        <f>$E25+'Станд.норм.распр.'!D25</f>
        <v>690.03892944025574</v>
      </c>
      <c r="I25">
        <f>$E25+'Станд.норм.распр.'!E25</f>
        <v>688.66322889122239</v>
      </c>
      <c r="J25">
        <f>$E25+'Станд.норм.распр.'!F25</f>
        <v>690.45226749737049</v>
      </c>
      <c r="K25">
        <f>$E25+'Станд.норм.распр.'!G25</f>
        <v>689.15603745850967</v>
      </c>
      <c r="L25">
        <f>$E25+'Станд.норм.распр.'!H25</f>
        <v>689.73117007559631</v>
      </c>
      <c r="M25">
        <f>$E25+'Станд.норм.распр.'!I25</f>
        <v>689.95120185505948</v>
      </c>
      <c r="N25">
        <f>$E25+'Станд.норм.распр.'!J25</f>
        <v>689.11062036012299</v>
      </c>
      <c r="O25">
        <f>$E25+'Станд.норм.распр.'!K25</f>
        <v>687.58222054172074</v>
      </c>
      <c r="P25" s="4" t="s">
        <v>251</v>
      </c>
      <c r="Q25" s="4" t="s">
        <v>5</v>
      </c>
      <c r="R25" s="2">
        <f>$B$3 + $B$4*F25 + ('Станд.норм.распр.'!B26 * $B$5)</f>
        <v>7577.8064317120588</v>
      </c>
      <c r="S25" s="2">
        <f>$B$3 + $B$4*G25 + ('Станд.норм.распр.'!C26 * $B$5)</f>
        <v>7605.9481554722588</v>
      </c>
      <c r="T25" s="2">
        <f>$B$3 + $B$4*H25 + ('Станд.норм.распр.'!D26 * $B$5)</f>
        <v>7612.2002698895521</v>
      </c>
      <c r="U25" s="2">
        <f>$B$3 + $B$4*I25 + ('Станд.норм.распр.'!E26 * $B$5)</f>
        <v>7600.0707858412788</v>
      </c>
      <c r="V25" s="2">
        <f>$B$3 + $B$4*J25 + ('Станд.норм.распр.'!F26 * $B$5)</f>
        <v>7612.4854681012657</v>
      </c>
      <c r="W25" s="2">
        <f>$B$3 + $B$4*K25 + ('Станд.норм.распр.'!G26 * $B$5)</f>
        <v>7593.7122412171157</v>
      </c>
      <c r="X25" s="2">
        <f>$B$3 + $B$4*L25 + ('Станд.норм.распр.'!H26 * $B$5)</f>
        <v>7610.7342008100823</v>
      </c>
      <c r="Y25" s="2">
        <f>$B$3 + $B$4*M25 + ('Станд.норм.распр.'!I26 * $B$5)</f>
        <v>7596.8068924368417</v>
      </c>
      <c r="Z25" s="2">
        <f>$B$3 + $B$4*N25 + ('Станд.норм.распр.'!J26 * $B$5)</f>
        <v>7594.1627795124368</v>
      </c>
      <c r="AA25" s="2">
        <f>$B$3 + $B$4*O25 + ('Станд.норм.распр.'!K26 * $B$5)</f>
        <v>7588.5585781208356</v>
      </c>
    </row>
    <row r="26" spans="3:27" x14ac:dyDescent="0.3">
      <c r="C26" s="4" t="s">
        <v>34</v>
      </c>
      <c r="D26" s="4" t="s">
        <v>5</v>
      </c>
      <c r="E26" s="4">
        <v>278</v>
      </c>
      <c r="F26">
        <f>$E26+'Станд.норм.распр.'!B26</f>
        <v>277.32726268525585</v>
      </c>
      <c r="G26">
        <f>$E26+'Станд.норм.распр.'!C26</f>
        <v>278.32287744033965</v>
      </c>
      <c r="H26">
        <f>$E26+'Станд.норм.распр.'!D26</f>
        <v>278.86356067185989</v>
      </c>
      <c r="I26">
        <f>$E26+'Станд.норм.распр.'!E26</f>
        <v>279.19725200420362</v>
      </c>
      <c r="J26">
        <f>$E26+'Станд.норм.распр.'!F26</f>
        <v>278.39005840335449</v>
      </c>
      <c r="K26">
        <f>$E26+'Станд.норм.распр.'!G26</f>
        <v>277.88842546372325</v>
      </c>
      <c r="L26">
        <f>$E26+'Станд.норм.распр.'!H26</f>
        <v>279.07681444205809</v>
      </c>
      <c r="M26">
        <f>$E26+'Станд.норм.распр.'!I26</f>
        <v>277.26040800346527</v>
      </c>
      <c r="N26">
        <f>$E26+'Станд.норм.распр.'!J26</f>
        <v>277.99399506123154</v>
      </c>
      <c r="O26">
        <f>$E26+'Станд.норм.распр.'!K26</f>
        <v>279.23935024021193</v>
      </c>
      <c r="P26" s="4" t="s">
        <v>252</v>
      </c>
      <c r="Q26" s="4" t="s">
        <v>5</v>
      </c>
      <c r="R26" s="2">
        <f>$B$3 + $B$4*F26 + ('Станд.норм.распр.'!B27 * $B$5)</f>
        <v>3068.0681066113466</v>
      </c>
      <c r="S26" s="2">
        <f>$B$3 + $B$4*G26 + ('Станд.норм.распр.'!C27 * $B$5)</f>
        <v>3063.9204515208548</v>
      </c>
      <c r="T26" s="2">
        <f>$B$3 + $B$4*H26 + ('Станд.норм.распр.'!D27 * $B$5)</f>
        <v>3085.5207619678113</v>
      </c>
      <c r="U26" s="2">
        <f>$B$3 + $B$4*I26 + ('Станд.норм.распр.'!E27 * $B$5)</f>
        <v>3081.0551498033165</v>
      </c>
      <c r="V26" s="2">
        <f>$B$3 + $B$4*J26 + ('Станд.норм.распр.'!F27 * $B$5)</f>
        <v>3082.9968402739469</v>
      </c>
      <c r="W26" s="2">
        <f>$B$3 + $B$4*K26 + ('Станд.норм.распр.'!G27 * $B$5)</f>
        <v>3072.3333491349622</v>
      </c>
      <c r="X26" s="2">
        <f>$B$3 + $B$4*L26 + ('Станд.норм.распр.'!H27 * $B$5)</f>
        <v>3071.9961278263072</v>
      </c>
      <c r="Y26" s="2">
        <f>$B$3 + $B$4*M26 + ('Станд.норм.распр.'!I27 * $B$5)</f>
        <v>3050.1329825054854</v>
      </c>
      <c r="Z26" s="2">
        <f>$B$3 + $B$4*N26 + ('Станд.норм.распр.'!J27 * $B$5)</f>
        <v>3070.315231550805</v>
      </c>
      <c r="AA26" s="2">
        <f>$B$3 + $B$4*O26 + ('Станд.норм.распр.'!K27 * $B$5)</f>
        <v>3079.2185071076092</v>
      </c>
    </row>
    <row r="27" spans="3:27" x14ac:dyDescent="0.3">
      <c r="C27" s="4" t="s">
        <v>35</v>
      </c>
      <c r="D27" s="4" t="s">
        <v>5</v>
      </c>
      <c r="E27" s="4">
        <v>701</v>
      </c>
      <c r="F27">
        <f>$E27+'Станд.норм.распр.'!B27</f>
        <v>701.3853574526147</v>
      </c>
      <c r="G27">
        <f>$E27+'Станд.норм.распр.'!C27</f>
        <v>699.70764440856874</v>
      </c>
      <c r="H27">
        <f>$E27+'Станд.норм.распр.'!D27</f>
        <v>701.44684384192806</v>
      </c>
      <c r="I27">
        <f>$E27+'Станд.норм.распр.'!E27</f>
        <v>700.54281975078629</v>
      </c>
      <c r="J27">
        <f>$E27+'Станд.норм.распр.'!F27</f>
        <v>701.74513309300528</v>
      </c>
      <c r="K27">
        <f>$E27+'Станд.норм.распр.'!G27</f>
        <v>701.17340767044516</v>
      </c>
      <c r="L27">
        <f>$E27+'Станд.норм.распр.'!H27</f>
        <v>699.68346321818535</v>
      </c>
      <c r="M27">
        <f>$E27+'Станд.норм.распр.'!I27</f>
        <v>699.47427716304082</v>
      </c>
      <c r="N27">
        <f>$E27+'Станд.норм.распр.'!J27</f>
        <v>700.82014287525089</v>
      </c>
      <c r="O27">
        <f>$E27+'Станд.норм.распр.'!K27</f>
        <v>700.28729494058643</v>
      </c>
      <c r="P27" s="4" t="s">
        <v>253</v>
      </c>
      <c r="Q27" s="4" t="s">
        <v>5</v>
      </c>
      <c r="R27" s="2">
        <f>$B$3 + $B$4*F27 + ('Станд.норм.распр.'!B28 * $B$5)</f>
        <v>7734.0179673861712</v>
      </c>
      <c r="S27" s="2">
        <f>$B$3 + $B$4*G27 + ('Станд.норм.распр.'!C28 * $B$5)</f>
        <v>7721.1892717692535</v>
      </c>
      <c r="T27" s="2">
        <f>$B$3 + $B$4*H27 + ('Станд.норм.распр.'!D28 * $B$5)</f>
        <v>7730.3295480029192</v>
      </c>
      <c r="U27" s="2">
        <f>$B$3 + $B$4*I27 + ('Станд.норм.распр.'!E28 * $B$5)</f>
        <v>7721.5149163472233</v>
      </c>
      <c r="V27" s="2">
        <f>$B$3 + $B$4*J27 + ('Станд.норм.распр.'!F28 * $B$5)</f>
        <v>7738.7901565722132</v>
      </c>
      <c r="W27" s="2">
        <f>$B$3 + $B$4*K27 + ('Станд.норм.распр.'!G28 * $B$5)</f>
        <v>7731.7803250658471</v>
      </c>
      <c r="X27" s="2">
        <f>$B$3 + $B$4*L27 + ('Станд.норм.распр.'!H28 * $B$5)</f>
        <v>7711.1654828237079</v>
      </c>
      <c r="Y27" s="2">
        <f>$B$3 + $B$4*M27 + ('Станд.норм.распр.'!I28 * $B$5)</f>
        <v>7698.2938658780768</v>
      </c>
      <c r="Z27" s="2">
        <f>$B$3 + $B$4*N27 + ('Станд.норм.распр.'!J28 * $B$5)</f>
        <v>7725.496903567182</v>
      </c>
      <c r="AA27" s="2">
        <f>$B$3 + $B$4*O27 + ('Станд.норм.распр.'!K28 * $B$5)</f>
        <v>7716.1325198809209</v>
      </c>
    </row>
    <row r="28" spans="3:27" x14ac:dyDescent="0.3">
      <c r="C28" s="4" t="s">
        <v>36</v>
      </c>
      <c r="D28" s="4" t="s">
        <v>5</v>
      </c>
      <c r="E28" s="4">
        <v>219</v>
      </c>
      <c r="F28">
        <f>$E28+'Станд.норм.распр.'!B28</f>
        <v>219.53100393415662</v>
      </c>
      <c r="G28">
        <f>$E28+'Станд.норм.распр.'!C28</f>
        <v>220.15613147499971</v>
      </c>
      <c r="H28">
        <f>$E28+'Станд.норм.распр.'!D28</f>
        <v>219.04602952685673</v>
      </c>
      <c r="I28">
        <f>$E28+'Станд.норм.распр.'!E28</f>
        <v>219.1715443431749</v>
      </c>
      <c r="J28">
        <f>$E28+'Станд.норм.распр.'!F28</f>
        <v>219.62152139435057</v>
      </c>
      <c r="K28">
        <f>$E28+'Станд.норм.распр.'!G28</f>
        <v>219.54142674343893</v>
      </c>
      <c r="L28">
        <f>$E28+'Станд.норм.распр.'!H28</f>
        <v>219.07193193596322</v>
      </c>
      <c r="M28">
        <f>$E28+'Станд.норм.распр.'!I28</f>
        <v>217.89742412051419</v>
      </c>
      <c r="N28">
        <f>$E28+'Станд.норм.распр.'!J28</f>
        <v>219.27503688215802</v>
      </c>
      <c r="O28">
        <f>$E28+'Станд.норм.распр.'!K28</f>
        <v>218.8858083927189</v>
      </c>
      <c r="P28" s="4" t="s">
        <v>254</v>
      </c>
      <c r="Q28" s="4" t="s">
        <v>5</v>
      </c>
      <c r="R28" s="2">
        <f>$B$3 + $B$4*F28 + ('Станд.норм.распр.'!B29 * $B$5)</f>
        <v>2432.6552389550197</v>
      </c>
      <c r="S28" s="2">
        <f>$B$3 + $B$4*G28 + ('Станд.норм.распр.'!C29 * $B$5)</f>
        <v>2444.912123884249</v>
      </c>
      <c r="T28" s="2">
        <f>$B$3 + $B$4*H28 + ('Станд.норм.распр.'!D29 * $B$5)</f>
        <v>2416.3499884718913</v>
      </c>
      <c r="U28" s="2">
        <f>$B$3 + $B$4*I28 + ('Станд.норм.распр.'!E29 * $B$5)</f>
        <v>2411.397444212751</v>
      </c>
      <c r="V28" s="2">
        <f>$B$3 + $B$4*J28 + ('Станд.норм.распр.'!F29 * $B$5)</f>
        <v>2436.371488876146</v>
      </c>
      <c r="W28" s="2">
        <f>$B$3 + $B$4*K28 + ('Станд.норм.распр.'!G29 * $B$5)</f>
        <v>2436.1422962112993</v>
      </c>
      <c r="X28" s="2">
        <f>$B$3 + $B$4*L28 + ('Станд.норм.распр.'!H29 * $B$5)</f>
        <v>2419.2037759360101</v>
      </c>
      <c r="Y28" s="2">
        <f>$B$3 + $B$4*M28 + ('Станд.норм.распр.'!I29 * $B$5)</f>
        <v>2414.6851038506138</v>
      </c>
      <c r="Z28" s="2">
        <f>$B$3 + $B$4*N28 + ('Станд.норм.распр.'!J29 * $B$5)</f>
        <v>2421.7249327659811</v>
      </c>
      <c r="AA28" s="2">
        <f>$B$3 + $B$4*O28 + ('Станд.норм.распр.'!K29 * $B$5)</f>
        <v>2426.1713625503471</v>
      </c>
    </row>
    <row r="29" spans="3:27" x14ac:dyDescent="0.3">
      <c r="C29" s="4" t="s">
        <v>37</v>
      </c>
      <c r="D29" s="4" t="s">
        <v>5</v>
      </c>
      <c r="E29" s="4">
        <v>666</v>
      </c>
      <c r="F29">
        <f>$E29+'Станд.норм.распр.'!B29</f>
        <v>666.42379951992189</v>
      </c>
      <c r="G29">
        <f>$E29+'Станд.норм.распр.'!C29</f>
        <v>667.02163085102802</v>
      </c>
      <c r="H29">
        <f>$E29+'Станд.норм.распр.'!D29</f>
        <v>665.20485151960747</v>
      </c>
      <c r="I29">
        <f>$E29+'Станд.норм.распр.'!E29</f>
        <v>664.50116182642523</v>
      </c>
      <c r="J29">
        <f>$E29+'Станд.норм.распр.'!F29</f>
        <v>666.72608372647665</v>
      </c>
      <c r="K29">
        <f>$E29+'Станд.норм.распр.'!G29</f>
        <v>666.79851133705233</v>
      </c>
      <c r="L29">
        <f>$E29+'Станд.норм.распр.'!H29</f>
        <v>665.49028051560163</v>
      </c>
      <c r="M29">
        <f>$E29+'Станд.норм.распр.'!I29</f>
        <v>666.42371539166197</v>
      </c>
      <c r="N29">
        <f>$E29+'Станд.норм.распр.'!J29</f>
        <v>665.52216967358254</v>
      </c>
      <c r="O29">
        <f>$E29+'Станд.норм.распр.'!K29</f>
        <v>666.49194113671547</v>
      </c>
      <c r="P29" s="4" t="s">
        <v>255</v>
      </c>
      <c r="Q29" s="4" t="s">
        <v>5</v>
      </c>
      <c r="R29" s="2">
        <f>$B$3 + $B$4*F29 + ('Станд.норм.распр.'!B30 * $B$5)</f>
        <v>7340.2179945113312</v>
      </c>
      <c r="S29" s="2">
        <f>$B$3 + $B$4*G29 + ('Станд.норм.распр.'!C30 * $B$5)</f>
        <v>7361.5975910577981</v>
      </c>
      <c r="T29" s="2">
        <f>$B$3 + $B$4*H29 + ('Станд.норм.распр.'!D30 * $B$5)</f>
        <v>7324.5316983737575</v>
      </c>
      <c r="U29" s="2">
        <f>$B$3 + $B$4*I29 + ('Станд.норм.распр.'!E30 * $B$5)</f>
        <v>7326.1831918224198</v>
      </c>
      <c r="V29" s="2">
        <f>$B$3 + $B$4*J29 + ('Станд.норм.распр.'!F30 * $B$5)</f>
        <v>7354.8458593685064</v>
      </c>
      <c r="W29" s="2">
        <f>$B$3 + $B$4*K29 + ('Станд.норм.распр.'!G30 * $B$5)</f>
        <v>7356.1477692017797</v>
      </c>
      <c r="X29" s="2">
        <f>$B$3 + $B$4*L29 + ('Станд.норм.распр.'!H30 * $B$5)</f>
        <v>7340.2327510628675</v>
      </c>
      <c r="Y29" s="2">
        <f>$B$3 + $B$4*M29 + ('Станд.норм.распр.'!I30 * $B$5)</f>
        <v>7360.3056833925075</v>
      </c>
      <c r="Z29" s="2">
        <f>$B$3 + $B$4*N29 + ('Станд.норм.распр.'!J30 * $B$5)</f>
        <v>7333.7043548925431</v>
      </c>
      <c r="AA29" s="2">
        <f>$B$3 + $B$4*O29 + ('Станд.норм.распр.'!K30 * $B$5)</f>
        <v>7357.1239571500337</v>
      </c>
    </row>
    <row r="30" spans="3:27" x14ac:dyDescent="0.3">
      <c r="C30" s="4" t="s">
        <v>38</v>
      </c>
      <c r="D30" s="4" t="s">
        <v>5</v>
      </c>
      <c r="E30" s="4">
        <v>92</v>
      </c>
      <c r="F30">
        <f>$E30+'Станд.норм.распр.'!B30</f>
        <v>91.506244421354495</v>
      </c>
      <c r="G30">
        <f>$E30+'Станд.норм.распр.'!C30</f>
        <v>93.151072410721099</v>
      </c>
      <c r="H30">
        <f>$E30+'Станд.норм.распр.'!D30</f>
        <v>91.25314796200837</v>
      </c>
      <c r="I30">
        <f>$E30+'Станд.норм.распр.'!E30</f>
        <v>92.296712414638023</v>
      </c>
      <c r="J30">
        <f>$E30+'Станд.норм.распр.'!F30</f>
        <v>92.762104264140362</v>
      </c>
      <c r="K30">
        <f>$E30+'Станд.норм.распр.'!G30</f>
        <v>92.818238277133787</v>
      </c>
      <c r="L30">
        <f>$E30+'Станд.норм.распр.'!H30</f>
        <v>92.648851710138842</v>
      </c>
      <c r="M30">
        <f>$E30+'Станд.норм.распр.'!I30</f>
        <v>93.738312676025089</v>
      </c>
      <c r="N30">
        <f>$E30+'Станд.норм.распр.'!J30</f>
        <v>91.884498720348347</v>
      </c>
      <c r="O30">
        <f>$E30+'Станд.норм.распр.'!K30</f>
        <v>93.301400516240392</v>
      </c>
      <c r="P30" s="4" t="s">
        <v>256</v>
      </c>
      <c r="Q30" s="4" t="s">
        <v>5</v>
      </c>
      <c r="R30" s="2">
        <f>$B$3 + $B$4*F30 + ('Станд.норм.распр.'!B31 * $B$5)</f>
        <v>1023.08050722802</v>
      </c>
      <c r="S30" s="2">
        <f>$B$3 + $B$4*G30 + ('Станд.норм.распр.'!C31 * $B$5)</f>
        <v>1050.8137553171546</v>
      </c>
      <c r="T30" s="2">
        <f>$B$3 + $B$4*H30 + ('Станд.норм.распр.'!D31 * $B$5)</f>
        <v>1044.1817290467734</v>
      </c>
      <c r="U30" s="2">
        <f>$B$3 + $B$4*I30 + ('Станд.норм.распр.'!E31 * $B$5)</f>
        <v>1017.9034723916411</v>
      </c>
      <c r="V30" s="2">
        <f>$B$3 + $B$4*J30 + ('Станд.норм.распр.'!F31 * $B$5)</f>
        <v>1021.568951226247</v>
      </c>
      <c r="W30" s="2">
        <f>$B$3 + $B$4*K30 + ('Станд.норм.распр.'!G31 * $B$5)</f>
        <v>1031.1147617341485</v>
      </c>
      <c r="X30" s="2">
        <f>$B$3 + $B$4*L30 + ('Станд.норм.распр.'!H31 * $B$5)</f>
        <v>1035.692171261122</v>
      </c>
      <c r="Y30" s="2">
        <f>$B$3 + $B$4*M30 + ('Станд.норм.распр.'!I31 * $B$5)</f>
        <v>1047.1894632684562</v>
      </c>
      <c r="Z30" s="2">
        <f>$B$3 + $B$4*N30 + ('Станд.норм.распр.'!J31 * $B$5)</f>
        <v>1030.6792047214694</v>
      </c>
      <c r="AA30" s="2">
        <f>$B$3 + $B$4*O30 + ('Станд.норм.распр.'!K31 * $B$5)</f>
        <v>1035.7075383109768</v>
      </c>
    </row>
    <row r="31" spans="3:27" x14ac:dyDescent="0.3">
      <c r="C31" s="4" t="s">
        <v>39</v>
      </c>
      <c r="D31" s="4" t="s">
        <v>5</v>
      </c>
      <c r="E31" s="4">
        <v>250</v>
      </c>
      <c r="F31">
        <f>$E31+'Станд.норм.распр.'!B31</f>
        <v>250.27909095479117</v>
      </c>
      <c r="G31">
        <f>$E31+'Станд.норм.распр.'!C31</f>
        <v>251.35021764435805</v>
      </c>
      <c r="H31">
        <f>$E31+'Станд.норм.распр.'!D31</f>
        <v>252.93301127385348</v>
      </c>
      <c r="I31">
        <f>$E31+'Станд.норм.распр.'!E31</f>
        <v>248.73773731451365</v>
      </c>
      <c r="J31">
        <f>$E31+'Станд.норм.распр.'!F31</f>
        <v>248.57620048007811</v>
      </c>
      <c r="K31">
        <f>$E31+'Станд.норм.распр.'!G31</f>
        <v>249.56823785396409</v>
      </c>
      <c r="L31">
        <f>$E31+'Станд.норм.распр.'!H31</f>
        <v>250.28386693884386</v>
      </c>
      <c r="M31">
        <f>$E31+'Станд.норм.распр.'!I31</f>
        <v>250.2297804257978</v>
      </c>
      <c r="N31">
        <f>$E31+'Станд.норм.распр.'!J31</f>
        <v>250.66107986640418</v>
      </c>
      <c r="O31">
        <f>$E31+'Станд.норм.распр.'!K31</f>
        <v>249.48801473692583</v>
      </c>
      <c r="P31" s="4" t="s">
        <v>257</v>
      </c>
      <c r="Q31" s="4" t="s">
        <v>5</v>
      </c>
      <c r="R31" s="2">
        <f>$B$3 + $B$4*F31 + ('Станд.норм.распр.'!B32 * $B$5)</f>
        <v>2787.7544747960783</v>
      </c>
      <c r="S31" s="2">
        <f>$B$3 + $B$4*G31 + ('Станд.норм.распр.'!C32 * $B$5)</f>
        <v>2767.949146503146</v>
      </c>
      <c r="T31" s="2">
        <f>$B$3 + $B$4*H31 + ('Станд.норм.распр.'!D32 * $B$5)</f>
        <v>2794.2748981084733</v>
      </c>
      <c r="U31" s="2">
        <f>$B$3 + $B$4*I31 + ('Станд.норм.распр.'!E32 * $B$5)</f>
        <v>2762.2311760504672</v>
      </c>
      <c r="V31" s="2">
        <f>$B$3 + $B$4*J31 + ('Станд.норм.распр.'!F32 * $B$5)</f>
        <v>2750.9575807174115</v>
      </c>
      <c r="W31" s="2">
        <f>$B$3 + $B$4*K31 + ('Станд.норм.распр.'!G32 * $B$5)</f>
        <v>2761.865684235876</v>
      </c>
      <c r="X31" s="2">
        <f>$B$3 + $B$4*L31 + ('Станд.норм.распр.'!H32 * $B$5)</f>
        <v>2767.7547397369053</v>
      </c>
      <c r="Y31" s="2">
        <f>$B$3 + $B$4*M31 + ('Станд.норм.распр.'!I32 * $B$5)</f>
        <v>2757.6160827473941</v>
      </c>
      <c r="Z31" s="2">
        <f>$B$3 + $B$4*N31 + ('Станд.норм.распр.'!J32 * $B$5)</f>
        <v>2778.4556361192372</v>
      </c>
      <c r="AA31" s="2">
        <f>$B$3 + $B$4*O31 + ('Станд.норм.распр.'!K32 * $B$5)</f>
        <v>2745.4961699939886</v>
      </c>
    </row>
    <row r="32" spans="3:27" x14ac:dyDescent="0.3">
      <c r="C32" s="4" t="s">
        <v>40</v>
      </c>
      <c r="D32" s="4" t="s">
        <v>5</v>
      </c>
      <c r="E32" s="4">
        <v>252</v>
      </c>
      <c r="F32">
        <f>$E32+'Станд.норм.распр.'!B32</f>
        <v>254.29827492148615</v>
      </c>
      <c r="G32">
        <f>$E32+'Станд.норм.распр.'!C32</f>
        <v>250.78852804613416</v>
      </c>
      <c r="H32">
        <f>$E32+'Станд.норм.распр.'!D32</f>
        <v>251.77908601067611</v>
      </c>
      <c r="I32">
        <f>$E32+'Станд.норм.распр.'!E32</f>
        <v>253.34622951009078</v>
      </c>
      <c r="J32">
        <f>$E32+'Станд.норм.распр.'!F32</f>
        <v>252.29104171517247</v>
      </c>
      <c r="K32">
        <f>$E32+'Станд.норм.распр.'!G32</f>
        <v>252.29056309358566</v>
      </c>
      <c r="L32">
        <f>$E32+'Станд.норм.распр.'!H32</f>
        <v>252.07024482329143</v>
      </c>
      <c r="M32">
        <f>$E32+'Станд.норм.распр.'!I32</f>
        <v>251.00983311817981</v>
      </c>
      <c r="N32">
        <f>$E32+'Станд.норм.распр.'!J32</f>
        <v>252.79819528764347</v>
      </c>
      <c r="O32">
        <f>$E32+'Станд.норм.распр.'!K32</f>
        <v>250.56977865420049</v>
      </c>
      <c r="P32" s="4" t="s">
        <v>258</v>
      </c>
      <c r="Q32" s="4" t="s">
        <v>5</v>
      </c>
      <c r="R32" s="2">
        <f>$B$3 + $B$4*F32 + ('Станд.норм.распр.'!B33 * $B$5)</f>
        <v>2812.1841046267364</v>
      </c>
      <c r="S32" s="2">
        <f>$B$3 + $B$4*G32 + ('Станд.норм.распр.'!C33 * $B$5)</f>
        <v>2757.4656473770447</v>
      </c>
      <c r="T32" s="2">
        <f>$B$3 + $B$4*H32 + ('Станд.норм.распр.'!D33 * $B$5)</f>
        <v>2803.8683944795921</v>
      </c>
      <c r="U32" s="2">
        <f>$B$3 + $B$4*I32 + ('Станд.норм.распр.'!E33 * $B$5)</f>
        <v>2791.8315799833508</v>
      </c>
      <c r="V32" s="2">
        <f>$B$3 + $B$4*J32 + ('Станд.норм.распр.'!F33 * $B$5)</f>
        <v>2782.3397578994773</v>
      </c>
      <c r="W32" s="2">
        <f>$B$3 + $B$4*K32 + ('Станд.норм.распр.'!G33 * $B$5)</f>
        <v>2798.9355930766906</v>
      </c>
      <c r="X32" s="2">
        <f>$B$3 + $B$4*L32 + ('Станд.норм.распр.'!H33 * $B$5)</f>
        <v>2786.8391384653805</v>
      </c>
      <c r="Y32" s="2">
        <f>$B$3 + $B$4*M32 + ('Станд.норм.распр.'!I33 * $B$5)</f>
        <v>2775.2620508035179</v>
      </c>
      <c r="Z32" s="2">
        <f>$B$3 + $B$4*N32 + ('Станд.норм.распр.'!J33 * $B$5)</f>
        <v>2790.5397769099509</v>
      </c>
      <c r="AA32" s="2">
        <f>$B$3 + $B$4*O32 + ('Станд.норм.распр.'!K33 * $B$5)</f>
        <v>2745.8981639792328</v>
      </c>
    </row>
    <row r="33" spans="3:27" x14ac:dyDescent="0.3">
      <c r="C33" s="4" t="s">
        <v>41</v>
      </c>
      <c r="D33" s="4" t="s">
        <v>5</v>
      </c>
      <c r="E33" s="4">
        <v>110</v>
      </c>
      <c r="F33">
        <f>$E33+'Станд.норм.распр.'!B33</f>
        <v>110.10034227670985</v>
      </c>
      <c r="G33">
        <f>$E33+'Станд.норм.распр.'!C33</f>
        <v>108.31020431884099</v>
      </c>
      <c r="H33">
        <f>$E33+'Станд.норм.распр.'!D33</f>
        <v>112.25538315135054</v>
      </c>
      <c r="I33">
        <f>$E33+'Станд.норм.распр.'!E33</f>
        <v>109.00256170803914</v>
      </c>
      <c r="J33">
        <f>$E33+'Станд.норм.распр.'!F33</f>
        <v>109.23758878139779</v>
      </c>
      <c r="K33">
        <f>$E33+'Станд.норм.распр.'!G33</f>
        <v>111.08215544969426</v>
      </c>
      <c r="L33">
        <f>$E33+'Станд.норм.распр.'!H33</f>
        <v>110.00738282324164</v>
      </c>
      <c r="M33">
        <f>$E33+'Станд.норм.распр.'!I33</f>
        <v>110.01709850039333</v>
      </c>
      <c r="N33">
        <f>$E33+'Станд.норм.распр.'!J33</f>
        <v>109.52884763843031</v>
      </c>
      <c r="O33">
        <f>$E33+'Станд.норм.распр.'!K33</f>
        <v>107.29228875366971</v>
      </c>
      <c r="P33" s="4" t="s">
        <v>259</v>
      </c>
      <c r="Q33" s="4" t="s">
        <v>5</v>
      </c>
      <c r="R33" s="2">
        <f>$B$3 + $B$4*F33 + ('Станд.норм.распр.'!B34 * $B$5)</f>
        <v>1231.5937850851915</v>
      </c>
      <c r="S33" s="2">
        <f>$B$3 + $B$4*G33 + ('Станд.норм.распр.'!C34 * $B$5)</f>
        <v>1210.9917382966378</v>
      </c>
      <c r="T33" s="2">
        <f>$B$3 + $B$4*H33 + ('Станд.норм.распр.'!D34 * $B$5)</f>
        <v>1244.4631487576989</v>
      </c>
      <c r="U33" s="2">
        <f>$B$3 + $B$4*I33 + ('Станд.норм.распр.'!E34 * $B$5)</f>
        <v>1212.5663453369489</v>
      </c>
      <c r="V33" s="2">
        <f>$B$3 + $B$4*J33 + ('Станд.норм.распр.'!F34 * $B$5)</f>
        <v>1218.710810824472</v>
      </c>
      <c r="W33" s="2">
        <f>$B$3 + $B$4*K33 + ('Станд.норм.распр.'!G34 * $B$5)</f>
        <v>1254.4235413750575</v>
      </c>
      <c r="X33" s="2">
        <f>$B$3 + $B$4*L33 + ('Станд.норм.распр.'!H34 * $B$5)</f>
        <v>1193.2358073843934</v>
      </c>
      <c r="Y33" s="2">
        <f>$B$3 + $B$4*M33 + ('Станд.норм.распр.'!I34 * $B$5)</f>
        <v>1222.7551586855261</v>
      </c>
      <c r="Z33" s="2">
        <f>$B$3 + $B$4*N33 + ('Станд.норм.распр.'!J34 * $B$5)</f>
        <v>1202.1110614094359</v>
      </c>
      <c r="AA33" s="2">
        <f>$B$3 + $B$4*O33 + ('Станд.норм.распр.'!K34 * $B$5)</f>
        <v>1194.0048306294775</v>
      </c>
    </row>
    <row r="34" spans="3:27" x14ac:dyDescent="0.3">
      <c r="C34" s="4" t="s">
        <v>42</v>
      </c>
      <c r="D34" s="4" t="s">
        <v>5</v>
      </c>
      <c r="E34" s="4">
        <v>185</v>
      </c>
      <c r="F34">
        <f>$E34+'Станд.норм.распр.'!B34</f>
        <v>185.72111333793146</v>
      </c>
      <c r="G34">
        <f>$E34+'Станд.норм.распр.'!C34</f>
        <v>185.61994342104299</v>
      </c>
      <c r="H34">
        <f>$E34+'Станд.норм.распр.'!D34</f>
        <v>184.51710378809366</v>
      </c>
      <c r="I34">
        <f>$E34+'Станд.норм.распр.'!E34</f>
        <v>184.94868517205759</v>
      </c>
      <c r="J34">
        <f>$E34+'Станд.норм.распр.'!F34</f>
        <v>185.34414824767737</v>
      </c>
      <c r="K34">
        <f>$E34+'Станд.норм.распр.'!G34</f>
        <v>187.0577590476023</v>
      </c>
      <c r="L34">
        <f>$E34+'Станд.норм.распр.'!H34</f>
        <v>181.57273292541504</v>
      </c>
      <c r="M34">
        <f>$E34+'Станд.норм.распр.'!I34</f>
        <v>184.84078613124439</v>
      </c>
      <c r="N34">
        <f>$E34+'Станд.норм.распр.'!J34</f>
        <v>183.14374859852251</v>
      </c>
      <c r="O34">
        <f>$E34+'Станд.норм.распр.'!K34</f>
        <v>184.97662825990119</v>
      </c>
      <c r="P34" s="4" t="s">
        <v>260</v>
      </c>
      <c r="Q34" s="4" t="s">
        <v>5</v>
      </c>
      <c r="R34" s="2">
        <f>$B$3 + $B$4*F34 + ('Станд.норм.распр.'!B35 * $B$5)</f>
        <v>2046.8623395691102</v>
      </c>
      <c r="S34" s="2">
        <f>$B$3 + $B$4*G34 + ('Станд.норм.распр.'!C35 * $B$5)</f>
        <v>2054.272685257296</v>
      </c>
      <c r="T34" s="2">
        <f>$B$3 + $B$4*H34 + ('Станд.норм.распр.'!D35 * $B$5)</f>
        <v>2034.5385863156698</v>
      </c>
      <c r="U34" s="2">
        <f>$B$3 + $B$4*I34 + ('Станд.норм.распр.'!E35 * $B$5)</f>
        <v>2050.468230266255</v>
      </c>
      <c r="V34" s="2">
        <f>$B$3 + $B$4*J34 + ('Станд.норм.распр.'!F35 * $B$5)</f>
        <v>2052.3100150176324</v>
      </c>
      <c r="W34" s="2">
        <f>$B$3 + $B$4*K34 + ('Станд.норм.распр.'!G35 * $B$5)</f>
        <v>2062.7395636556903</v>
      </c>
      <c r="X34" s="2">
        <f>$B$3 + $B$4*L34 + ('Станд.норм.распр.'!H35 * $B$5)</f>
        <v>2027.2633312861435</v>
      </c>
      <c r="Y34" s="2">
        <f>$B$3 + $B$4*M34 + ('Станд.норм.распр.'!I35 * $B$5)</f>
        <v>2056.0706619226257</v>
      </c>
      <c r="Z34" s="2">
        <f>$B$3 + $B$4*N34 + ('Станд.норм.распр.'!J35 * $B$5)</f>
        <v>2031.8787645128614</v>
      </c>
      <c r="AA34" s="2">
        <f>$B$3 + $B$4*O34 + ('Станд.норм.распр.'!K35 * $B$5)</f>
        <v>2054.2840732678305</v>
      </c>
    </row>
    <row r="35" spans="3:27" x14ac:dyDescent="0.3">
      <c r="C35" s="4" t="s">
        <v>43</v>
      </c>
      <c r="D35" s="4" t="s">
        <v>5</v>
      </c>
      <c r="E35" s="4">
        <v>281</v>
      </c>
      <c r="F35">
        <f>$E35+'Станд.норм.распр.'!B35</f>
        <v>279.88112142798491</v>
      </c>
      <c r="G35">
        <f>$E35+'Станд.норм.распр.'!C35</f>
        <v>280.82814529175812</v>
      </c>
      <c r="H35">
        <f>$E35+'Станд.норм.распр.'!D35</f>
        <v>279.9833827385155</v>
      </c>
      <c r="I35">
        <f>$E35+'Станд.норм.распр.'!E35</f>
        <v>281.22585481929127</v>
      </c>
      <c r="J35">
        <f>$E35+'Станд.норм.распр.'!F35</f>
        <v>280.94715381035348</v>
      </c>
      <c r="K35">
        <f>$E35+'Станд.норм.распр.'!G35</f>
        <v>280.01157934800722</v>
      </c>
      <c r="L35">
        <f>$E35+'Станд.норм.распр.'!H35</f>
        <v>282.77369656739756</v>
      </c>
      <c r="M35">
        <f>$E35+'Станд.норм.распр.'!I35</f>
        <v>281.98022383099305</v>
      </c>
      <c r="N35">
        <f>$E35+'Станд.норм.распр.'!J35</f>
        <v>281.36639221434598</v>
      </c>
      <c r="O35">
        <f>$E35+'Станд.норм.распр.'!K35</f>
        <v>281.61568471210194</v>
      </c>
      <c r="P35" s="4" t="s">
        <v>261</v>
      </c>
      <c r="Q35" s="4" t="s">
        <v>5</v>
      </c>
      <c r="R35" s="2">
        <f>$B$3 + $B$4*F35 + ('Станд.норм.распр.'!B36 * $B$5)</f>
        <v>3090.2684391044022</v>
      </c>
      <c r="S35" s="2">
        <f>$B$3 + $B$4*G35 + ('Станд.норм.распр.'!C36 * $B$5)</f>
        <v>3115.239333505524</v>
      </c>
      <c r="T35" s="2">
        <f>$B$3 + $B$4*H35 + ('Станд.норм.распр.'!D36 * $B$5)</f>
        <v>3099.6119066862593</v>
      </c>
      <c r="U35" s="2">
        <f>$B$3 + $B$4*I35 + ('Станд.норм.распр.'!E36 * $B$5)</f>
        <v>3113.4727366811421</v>
      </c>
      <c r="V35" s="2">
        <f>$B$3 + $B$4*J35 + ('Станд.норм.распр.'!F36 * $B$5)</f>
        <v>3113.2318047134322</v>
      </c>
      <c r="W35" s="2">
        <f>$B$3 + $B$4*K35 + ('Станд.норм.распр.'!G36 * $B$5)</f>
        <v>3084.8499197822821</v>
      </c>
      <c r="X35" s="2">
        <f>$B$3 + $B$4*L35 + ('Станд.норм.распр.'!H36 * $B$5)</f>
        <v>3110.1412644097582</v>
      </c>
      <c r="Y35" s="2">
        <f>$B$3 + $B$4*M35 + ('Станд.норм.распр.'!I36 * $B$5)</f>
        <v>3110.9263606999593</v>
      </c>
      <c r="Z35" s="2">
        <f>$B$3 + $B$4*N35 + ('Станд.норм.распр.'!J36 * $B$5)</f>
        <v>3094.2787377575587</v>
      </c>
      <c r="AA35" s="2">
        <f>$B$3 + $B$4*O35 + ('Станд.норм.распр.'!K36 * $B$5)</f>
        <v>3122.4358433469024</v>
      </c>
    </row>
    <row r="36" spans="3:27" x14ac:dyDescent="0.3">
      <c r="C36" s="4" t="s">
        <v>44</v>
      </c>
      <c r="D36" s="4" t="s">
        <v>5</v>
      </c>
      <c r="E36" s="4">
        <v>315</v>
      </c>
      <c r="F36">
        <f>$E36+'Станд.норм.распр.'!B36</f>
        <v>314.73067815517425</v>
      </c>
      <c r="G36">
        <f>$E36+'Станд.норм.распр.'!C36</f>
        <v>316.34774836624274</v>
      </c>
      <c r="H36">
        <f>$E36+'Станд.норм.распр.'!D36</f>
        <v>315.64385517362098</v>
      </c>
      <c r="I36">
        <f>$E36+'Станд.норм.распр.'!E36</f>
        <v>315.66537040765979</v>
      </c>
      <c r="J36">
        <f>$E36+'Станд.норм.распр.'!F36</f>
        <v>315.97923475550488</v>
      </c>
      <c r="K36">
        <f>$E36+'Станд.норм.распр.'!G36</f>
        <v>313.9691718838003</v>
      </c>
      <c r="L36">
        <f>$E36+'Станд.норм.распр.'!H36</f>
        <v>313.40340024093166</v>
      </c>
      <c r="M36">
        <f>$E36+'Станд.норм.распр.'!I36</f>
        <v>314.46043317322619</v>
      </c>
      <c r="N36">
        <f>$E36+'Станд.норм.распр.'!J36</f>
        <v>313.36093593330588</v>
      </c>
      <c r="O36">
        <f>$E36+'Станд.норм.распр.'!K36</f>
        <v>316.18481239042012</v>
      </c>
      <c r="P36" s="4" t="s">
        <v>262</v>
      </c>
      <c r="Q36" s="4" t="s">
        <v>5</v>
      </c>
      <c r="R36" s="2">
        <f>$B$3 + $B$4*F36 + ('Станд.норм.распр.'!B37 * $B$5)</f>
        <v>3477.385378603416</v>
      </c>
      <c r="S36" s="2">
        <f>$B$3 + $B$4*G36 + ('Станд.норм.распр.'!C37 * $B$5)</f>
        <v>3497.7678574548045</v>
      </c>
      <c r="T36" s="2">
        <f>$B$3 + $B$4*H36 + ('Станд.норм.распр.'!D37 * $B$5)</f>
        <v>3485.3735672028997</v>
      </c>
      <c r="U36" s="2">
        <f>$B$3 + $B$4*I36 + ('Станд.норм.распр.'!E37 * $B$5)</f>
        <v>3479.258671661868</v>
      </c>
      <c r="V36" s="2">
        <f>$B$3 + $B$4*J36 + ('Станд.норм.распр.'!F37 * $B$5)</f>
        <v>3482.4573486118461</v>
      </c>
      <c r="W36" s="2">
        <f>$B$3 + $B$4*K36 + ('Станд.норм.распр.'!G37 * $B$5)</f>
        <v>3470.249396771309</v>
      </c>
      <c r="X36" s="2">
        <f>$B$3 + $B$4*L36 + ('Станд.норм.распр.'!H37 * $B$5)</f>
        <v>3457.3013754495187</v>
      </c>
      <c r="Y36" s="2">
        <f>$B$3 + $B$4*M36 + ('Станд.норм.распр.'!I37 * $B$5)</f>
        <v>3479.6948789632588</v>
      </c>
      <c r="Z36" s="2">
        <f>$B$3 + $B$4*N36 + ('Станд.норм.распр.'!J37 * $B$5)</f>
        <v>3450.7574905844231</v>
      </c>
      <c r="AA36" s="2">
        <f>$B$3 + $B$4*O36 + ('Станд.норм.распр.'!K37 * $B$5)</f>
        <v>3489.268842061123</v>
      </c>
    </row>
    <row r="37" spans="3:27" x14ac:dyDescent="0.3">
      <c r="C37" s="4" t="s">
        <v>45</v>
      </c>
      <c r="D37" s="4" t="s">
        <v>5</v>
      </c>
      <c r="E37" s="4">
        <v>883</v>
      </c>
      <c r="F37">
        <f>$E37+'Станд.норм.распр.'!B37</f>
        <v>883.1497687662777</v>
      </c>
      <c r="G37">
        <f>$E37+'Станд.норм.распр.'!C37</f>
        <v>883.4380694917927</v>
      </c>
      <c r="H37">
        <f>$E37+'Станд.норм.распр.'!D37</f>
        <v>882.92124003256322</v>
      </c>
      <c r="I37">
        <f>$E37+'Станд.норм.распр.'!E37</f>
        <v>882.21551079751225</v>
      </c>
      <c r="J37">
        <f>$E37+'Станд.норм.распр.'!F37</f>
        <v>882.18730736681027</v>
      </c>
      <c r="K37">
        <f>$E37+'Станд.норм.распр.'!G37</f>
        <v>883.28761178327841</v>
      </c>
      <c r="L37">
        <f>$E37+'Станд.норм.распр.'!H37</f>
        <v>882.54044142214116</v>
      </c>
      <c r="M37">
        <f>$E37+'Станд.норм.распр.'!I37</f>
        <v>883.7366793397523</v>
      </c>
      <c r="N37">
        <f>$E37+'Станд.норм.распр.'!J37</f>
        <v>881.86524392422871</v>
      </c>
      <c r="O37">
        <f>$E37+'Станд.норм.распр.'!K37</f>
        <v>882.69287841850019</v>
      </c>
      <c r="P37" s="4" t="s">
        <v>263</v>
      </c>
      <c r="Q37" s="4" t="s">
        <v>5</v>
      </c>
      <c r="R37" s="2">
        <f>$B$3 + $B$4*F37 + ('Станд.норм.распр.'!B38 * $B$5)</f>
        <v>9730.4154322747781</v>
      </c>
      <c r="S37" s="2">
        <f>$B$3 + $B$4*G37 + ('Станд.норм.распр.'!C38 * $B$5)</f>
        <v>9732.2357927415869</v>
      </c>
      <c r="T37" s="2">
        <f>$B$3 + $B$4*H37 + ('Станд.норм.распр.'!D38 * $B$5)</f>
        <v>9738.8861657938396</v>
      </c>
      <c r="U37" s="2">
        <f>$B$3 + $B$4*I37 + ('Станд.норм.распр.'!E38 * $B$5)</f>
        <v>9712.8394426155428</v>
      </c>
      <c r="V37" s="2">
        <f>$B$3 + $B$4*J37 + ('Станд.норм.распр.'!F38 * $B$5)</f>
        <v>9730.4797585612978</v>
      </c>
      <c r="W37" s="2">
        <f>$B$3 + $B$4*K37 + ('Станд.норм.распр.'!G38 * $B$5)</f>
        <v>9726.3397420894325</v>
      </c>
      <c r="X37" s="2">
        <f>$B$3 + $B$4*L37 + ('Станд.норм.распр.'!H38 * $B$5)</f>
        <v>9735.323240763275</v>
      </c>
      <c r="Y37" s="2">
        <f>$B$3 + $B$4*M37 + ('Станд.норм.распр.'!I38 * $B$5)</f>
        <v>9743.7731559486128</v>
      </c>
      <c r="Z37" s="2">
        <f>$B$3 + $B$4*N37 + ('Станд.норм.распр.'!J38 * $B$5)</f>
        <v>9712.6724264191143</v>
      </c>
      <c r="AA37" s="2">
        <f>$B$3 + $B$4*O37 + ('Станд.норм.распр.'!K38 * $B$5)</f>
        <v>9732.4927897963353</v>
      </c>
    </row>
    <row r="38" spans="3:27" x14ac:dyDescent="0.3">
      <c r="C38" s="4" t="s">
        <v>46</v>
      </c>
      <c r="D38" s="4" t="s">
        <v>5</v>
      </c>
      <c r="E38" s="4">
        <v>75</v>
      </c>
      <c r="F38">
        <f>$E38+'Станд.норм.распр.'!B38</f>
        <v>75.196441760635935</v>
      </c>
      <c r="G38">
        <f>$E38+'Станд.норм.распр.'!C38</f>
        <v>75.046336481318576</v>
      </c>
      <c r="H38">
        <f>$E38+'Станд.норм.распр.'!D38</f>
        <v>76.416947270627134</v>
      </c>
      <c r="I38">
        <f>$E38+'Станд.норм.распр.'!E38</f>
        <v>74.385424871434225</v>
      </c>
      <c r="J38">
        <f>$E38+'Станд.норм.распр.'!F38</f>
        <v>76.379930836264975</v>
      </c>
      <c r="K38">
        <f>$E38+'Станд.норм.распр.'!G38</f>
        <v>74.575112497041118</v>
      </c>
      <c r="L38">
        <f>$E38+'Станд.норм.распр.'!H38</f>
        <v>76.486487235524692</v>
      </c>
      <c r="M38">
        <f>$E38+'Станд.норм.распр.'!I38</f>
        <v>75.96329813459306</v>
      </c>
      <c r="N38">
        <f>$E38+'Станд.норм.распр.'!J38</f>
        <v>74.794971472510952</v>
      </c>
      <c r="O38">
        <f>$E38+'Станд.норм.распр.'!K38</f>
        <v>75.985680799203692</v>
      </c>
      <c r="P38" s="4" t="s">
        <v>264</v>
      </c>
      <c r="Q38" s="4" t="s">
        <v>5</v>
      </c>
      <c r="R38" s="2">
        <f>$B$3 + $B$4*F38 + ('Станд.норм.распр.'!B39 * $B$5)</f>
        <v>837.9118691701151</v>
      </c>
      <c r="S38" s="2">
        <f>$B$3 + $B$4*G38 + ('Станд.норм.распр.'!C39 * $B$5)</f>
        <v>855.51962747928337</v>
      </c>
      <c r="T38" s="2">
        <f>$B$3 + $B$4*H38 + ('Станд.норм.распр.'!D39 * $B$5)</f>
        <v>864.60500433901325</v>
      </c>
      <c r="U38" s="2">
        <f>$B$3 + $B$4*I38 + ('Станд.норм.распр.'!E39 * $B$5)</f>
        <v>829.05086692704936</v>
      </c>
      <c r="V38" s="2">
        <f>$B$3 + $B$4*J38 + ('Станд.норм.распр.'!F39 * $B$5)</f>
        <v>850.79688752017682</v>
      </c>
      <c r="W38" s="2">
        <f>$B$3 + $B$4*K38 + ('Станд.норм.распр.'!G39 * $B$5)</f>
        <v>824.58313450303103</v>
      </c>
      <c r="X38" s="2">
        <f>$B$3 + $B$4*L38 + ('Станд.норм.распр.'!H39 * $B$5)</f>
        <v>848.0419143816689</v>
      </c>
      <c r="Y38" s="2">
        <f>$B$3 + $B$4*M38 + ('Станд.норм.распр.'!I39 * $B$5)</f>
        <v>851.39655716744892</v>
      </c>
      <c r="Z38" s="2">
        <f>$B$3 + $B$4*N38 + ('Станд.норм.распр.'!J39 * $B$5)</f>
        <v>829.20496375123912</v>
      </c>
      <c r="AA38" s="2">
        <f>$B$3 + $B$4*O38 + ('Станд.норм.распр.'!K39 * $B$5)</f>
        <v>854.65326329000527</v>
      </c>
    </row>
    <row r="39" spans="3:27" x14ac:dyDescent="0.3">
      <c r="C39" s="4" t="s">
        <v>47</v>
      </c>
      <c r="D39" s="4" t="s">
        <v>5</v>
      </c>
      <c r="E39" s="4">
        <v>763</v>
      </c>
      <c r="F39">
        <f>$E39+'Станд.норм.распр.'!B39</f>
        <v>762.63900108923553</v>
      </c>
      <c r="G39">
        <f>$E39+'Станд.норм.распр.'!C39</f>
        <v>764.77888068719767</v>
      </c>
      <c r="H39">
        <f>$E39+'Станд.норм.распр.'!D39</f>
        <v>764.11317604023498</v>
      </c>
      <c r="I39">
        <f>$E39+'Станд.норм.распр.'!E39</f>
        <v>762.64568814903032</v>
      </c>
      <c r="J39">
        <f>$E39+'Станд.норм.распр.'!F39</f>
        <v>762.6241831468069</v>
      </c>
      <c r="K39">
        <f>$E39+'Станд.норм.распр.'!G39</f>
        <v>761.91743300395319</v>
      </c>
      <c r="L39">
        <f>$E39+'Станд.норм.распр.'!H39</f>
        <v>762.18783942121081</v>
      </c>
      <c r="M39">
        <f>$E39+'Станд.норм.распр.'!I39</f>
        <v>763.20003085410281</v>
      </c>
      <c r="N39">
        <f>$E39+'Станд.норм.распр.'!J39</f>
        <v>762.16225306151318</v>
      </c>
      <c r="O39">
        <f>$E39+'Станд.норм.распр.'!K39</f>
        <v>763.53453049986274</v>
      </c>
      <c r="P39" s="4" t="s">
        <v>265</v>
      </c>
      <c r="Q39" s="4" t="s">
        <v>5</v>
      </c>
      <c r="R39" s="2">
        <f>$B$3 + $B$4*F39 + ('Станд.норм.распр.'!B40 * $B$5)</f>
        <v>8412.744959707954</v>
      </c>
      <c r="S39" s="2">
        <f>$B$3 + $B$4*G39 + ('Станд.норм.распр.'!C40 * $B$5)</f>
        <v>8413.168470463308</v>
      </c>
      <c r="T39" s="2">
        <f>$B$3 + $B$4*H39 + ('Станд.норм.распр.'!D40 * $B$5)</f>
        <v>8434.5867660093354</v>
      </c>
      <c r="U39" s="2">
        <f>$B$3 + $B$4*I39 + ('Станд.норм.распр.'!E40 * $B$5)</f>
        <v>8416.2967411546852</v>
      </c>
      <c r="V39" s="2">
        <f>$B$3 + $B$4*J39 + ('Станд.норм.распр.'!F40 * $B$5)</f>
        <v>8409.2139761313156</v>
      </c>
      <c r="W39" s="2">
        <f>$B$3 + $B$4*K39 + ('Станд.норм.распр.'!G40 * $B$5)</f>
        <v>8393.5345830585284</v>
      </c>
      <c r="X39" s="2">
        <f>$B$3 + $B$4*L39 + ('Станд.норм.распр.'!H40 * $B$5)</f>
        <v>8399.3800396572915</v>
      </c>
      <c r="Y39" s="2">
        <f>$B$3 + $B$4*M39 + ('Станд.норм.распр.'!I40 * $B$5)</f>
        <v>8418.2557415832271</v>
      </c>
      <c r="Z39" s="2">
        <f>$B$3 + $B$4*N39 + ('Станд.норм.распр.'!J40 * $B$5)</f>
        <v>8403.0350555738842</v>
      </c>
      <c r="AA39" s="2">
        <f>$B$3 + $B$4*O39 + ('Станд.норм.распр.'!K40 * $B$5)</f>
        <v>8415.2466590356489</v>
      </c>
    </row>
    <row r="40" spans="3:27" x14ac:dyDescent="0.3">
      <c r="C40" s="4" t="s">
        <v>48</v>
      </c>
      <c r="D40" s="4" t="s">
        <v>5</v>
      </c>
      <c r="E40" s="4">
        <v>438</v>
      </c>
      <c r="F40">
        <f>$E40+'Станд.норм.распр.'!B40</f>
        <v>439.07954974737368</v>
      </c>
      <c r="G40">
        <f>$E40+'Станд.норм.распр.'!C40</f>
        <v>436.5111981004593</v>
      </c>
      <c r="H40">
        <f>$E40+'Станд.норм.распр.'!D40</f>
        <v>439.70464772963896</v>
      </c>
      <c r="I40">
        <f>$E40+'Станд.норм.распр.'!E40</f>
        <v>439.46601905726129</v>
      </c>
      <c r="J40">
        <f>$E40+'Станд.норм.распр.'!F40</f>
        <v>438.70532905738219</v>
      </c>
      <c r="K40">
        <f>$E40+'Станд.норм.распр.'!G40</f>
        <v>437.82698000167147</v>
      </c>
      <c r="L40">
        <f>$E40+'Станд.норм.распр.'!H40</f>
        <v>438.14597844710806</v>
      </c>
      <c r="M40">
        <f>$E40+'Станд.норм.распр.'!I40</f>
        <v>439.00615579867736</v>
      </c>
      <c r="N40">
        <f>$E40+'Станд.норм.распр.'!J40</f>
        <v>438.58336354413768</v>
      </c>
      <c r="O40">
        <f>$E40+'Станд.норм.распр.'!K40</f>
        <v>438.26298039301764</v>
      </c>
      <c r="P40" s="4" t="s">
        <v>266</v>
      </c>
      <c r="Q40" s="4" t="s">
        <v>5</v>
      </c>
      <c r="R40" s="2">
        <f>$B$3 + $B$4*F40 + ('Станд.норм.распр.'!B41 * $B$5)</f>
        <v>4838.2328354033525</v>
      </c>
      <c r="S40" s="2">
        <f>$B$3 + $B$4*G40 + ('Станд.норм.распр.'!C41 * $B$5)</f>
        <v>4820.4244175518688</v>
      </c>
      <c r="T40" s="2">
        <f>$B$3 + $B$4*H40 + ('Станд.норм.распр.'!D41 * $B$5)</f>
        <v>4862.1298450722243</v>
      </c>
      <c r="U40" s="2">
        <f>$B$3 + $B$4*I40 + ('Станд.норм.распр.'!E41 * $B$5)</f>
        <v>4845.973261729916</v>
      </c>
      <c r="V40" s="2">
        <f>$B$3 + $B$4*J40 + ('Станд.норм.распр.'!F41 * $B$5)</f>
        <v>4843.9951437227428</v>
      </c>
      <c r="W40" s="2">
        <f>$B$3 + $B$4*K40 + ('Станд.норм.распр.'!G41 * $B$5)</f>
        <v>4818.243017247034</v>
      </c>
      <c r="X40" s="2">
        <f>$B$3 + $B$4*L40 + ('Станд.норм.распр.'!H41 * $B$5)</f>
        <v>4809.8718802190269</v>
      </c>
      <c r="Y40" s="2">
        <f>$B$3 + $B$4*M40 + ('Станд.норм.распр.'!I41 * $B$5)</f>
        <v>4831.6659926182474</v>
      </c>
      <c r="Z40" s="2">
        <f>$B$3 + $B$4*N40 + ('Станд.норм.распр.'!J41 * $B$5)</f>
        <v>4840.2784322330554</v>
      </c>
      <c r="AA40" s="2">
        <f>$B$3 + $B$4*O40 + ('Станд.норм.распр.'!K41 * $B$5)</f>
        <v>4828.845904206566</v>
      </c>
    </row>
    <row r="41" spans="3:27" x14ac:dyDescent="0.3">
      <c r="C41" s="4" t="s">
        <v>49</v>
      </c>
      <c r="D41" s="4" t="s">
        <v>5</v>
      </c>
      <c r="E41" s="4">
        <v>752</v>
      </c>
      <c r="F41">
        <f>$E41+'Станд.норм.распр.'!B41</f>
        <v>751.37308757580467</v>
      </c>
      <c r="G41">
        <f>$E41+'Станд.норм.распр.'!C41</f>
        <v>752.53347093853517</v>
      </c>
      <c r="H41">
        <f>$E41+'Станд.норм.распр.'!D41</f>
        <v>753.26430222735507</v>
      </c>
      <c r="I41">
        <f>$E41+'Станд.норм.распр.'!E41</f>
        <v>751.76078356667131</v>
      </c>
      <c r="J41">
        <f>$E41+'Станд.норм.распр.'!F41</f>
        <v>752.47072489905986</v>
      </c>
      <c r="K41">
        <f>$E41+'Станд.норм.распр.'!G41</f>
        <v>750.68291524762753</v>
      </c>
      <c r="L41">
        <f>$E41+'Станд.норм.распр.'!H41</f>
        <v>749.36290192231536</v>
      </c>
      <c r="M41">
        <f>$E41+'Станд.норм.распр.'!I41</f>
        <v>750.73314209253294</v>
      </c>
      <c r="N41">
        <f>$E41+'Станд.норм.распр.'!J41</f>
        <v>752.20682591639343</v>
      </c>
      <c r="O41">
        <f>$E41+'Станд.норм.распр.'!K41</f>
        <v>751.32812443148578</v>
      </c>
      <c r="P41" s="4" t="s">
        <v>267</v>
      </c>
      <c r="Q41" s="4" t="s">
        <v>5</v>
      </c>
      <c r="R41" s="2">
        <f>$B$3 + $B$4*F41 + ('Станд.норм.распр.'!B42 * $B$5)</f>
        <v>8279.1566367195046</v>
      </c>
      <c r="S41" s="2">
        <f>$B$3 + $B$4*G41 + ('Станд.норм.распр.'!C42 * $B$5)</f>
        <v>8295.2195296019781</v>
      </c>
      <c r="T41" s="2">
        <f>$B$3 + $B$4*H41 + ('Станд.норм.распр.'!D42 * $B$5)</f>
        <v>8277.4621594143682</v>
      </c>
      <c r="U41" s="2">
        <f>$B$3 + $B$4*I41 + ('Станд.норм.распр.'!E42 * $B$5)</f>
        <v>8291.4480904054799</v>
      </c>
      <c r="V41" s="2">
        <f>$B$3 + $B$4*J41 + ('Станд.норм.распр.'!F42 * $B$5)</f>
        <v>8280.3290163173515</v>
      </c>
      <c r="W41" s="2">
        <f>$B$3 + $B$4*K41 + ('Станд.норм.распр.'!G42 * $B$5)</f>
        <v>8255.9935960961739</v>
      </c>
      <c r="X41" s="2">
        <f>$B$3 + $B$4*L41 + ('Станд.норм.распр.'!H42 * $B$5)</f>
        <v>8258.583357248368</v>
      </c>
      <c r="Y41" s="2">
        <f>$B$3 + $B$4*M41 + ('Станд.норм.распр.'!I42 * $B$5)</f>
        <v>8290.5843944462831</v>
      </c>
      <c r="Z41" s="2">
        <f>$B$3 + $B$4*N41 + ('Станд.норм.распр.'!J42 * $B$5)</f>
        <v>8280.3245757094701</v>
      </c>
      <c r="AA41" s="2">
        <f>$B$3 + $B$4*O41 + ('Станд.норм.распр.'!K42 * $B$5)</f>
        <v>8272.483744578436</v>
      </c>
    </row>
    <row r="42" spans="3:27" x14ac:dyDescent="0.3">
      <c r="C42" s="4" t="s">
        <v>50</v>
      </c>
      <c r="D42" s="4" t="s">
        <v>5</v>
      </c>
      <c r="E42" s="4">
        <v>607</v>
      </c>
      <c r="F42">
        <f>$E42+'Станд.норм.распр.'!B42</f>
        <v>607.00585259840591</v>
      </c>
      <c r="G42">
        <f>$E42+'Станд.норм.распр.'!C42</f>
        <v>607.37237214201014</v>
      </c>
      <c r="H42">
        <f>$E42+'Станд.норм.распр.'!D42</f>
        <v>604.50609276816249</v>
      </c>
      <c r="I42">
        <f>$E42+'Станд.норм.распр.'!E42</f>
        <v>607.89771901912172</v>
      </c>
      <c r="J42">
        <f>$E42+'Станд.норм.распр.'!F42</f>
        <v>605.79456026974367</v>
      </c>
      <c r="K42">
        <f>$E42+'Станд.норм.распр.'!G42</f>
        <v>605.27572537469678</v>
      </c>
      <c r="L42">
        <f>$E42+'Станд.норм.распр.'!H42</f>
        <v>607.17682623365545</v>
      </c>
      <c r="M42">
        <f>$E42+'Станд.норм.распр.'!I42</f>
        <v>609.0577590476023</v>
      </c>
      <c r="N42">
        <f>$E42+'Станд.норм.распр.'!J42</f>
        <v>606.11661006990471</v>
      </c>
      <c r="O42">
        <f>$E42+'Станд.норм.распр.'!K42</f>
        <v>606.31937509245472</v>
      </c>
      <c r="P42" s="4" t="s">
        <v>268</v>
      </c>
      <c r="Q42" s="4" t="s">
        <v>5</v>
      </c>
      <c r="R42" s="2">
        <f>$B$3 + $B$4*F42 + ('Станд.норм.распр.'!B43 * $B$5)</f>
        <v>6688.7609309098625</v>
      </c>
      <c r="S42" s="2">
        <f>$B$3 + $B$4*G42 + ('Станд.норм.распр.'!C43 * $B$5)</f>
        <v>6698.9427036325797</v>
      </c>
      <c r="T42" s="2">
        <f>$B$3 + $B$4*H42 + ('Станд.норм.распр.'!D43 * $B$5)</f>
        <v>6668.7488824292959</v>
      </c>
      <c r="U42" s="2">
        <f>$B$3 + $B$4*I42 + ('Станд.норм.распр.'!E43 * $B$5)</f>
        <v>6699.5478836808761</v>
      </c>
      <c r="V42" s="2">
        <f>$B$3 + $B$4*J42 + ('Станд.норм.распр.'!F43 * $B$5)</f>
        <v>6688.0386284076085</v>
      </c>
      <c r="W42" s="2">
        <f>$B$3 + $B$4*K42 + ('Станд.норм.распр.'!G43 * $B$5)</f>
        <v>6665.6106323073036</v>
      </c>
      <c r="X42" s="2">
        <f>$B$3 + $B$4*L42 + ('Станд.норм.распр.'!H43 * $B$5)</f>
        <v>6692.6858348317328</v>
      </c>
      <c r="Y42" s="2">
        <f>$B$3 + $B$4*M42 + ('Станд.норм.распр.'!I43 * $B$5)</f>
        <v>6712.5577142625989</v>
      </c>
      <c r="Z42" s="2">
        <f>$B$3 + $B$4*N42 + ('Станд.норм.распр.'!J43 * $B$5)</f>
        <v>6686.8119704842975</v>
      </c>
      <c r="AA42" s="2">
        <f>$B$3 + $B$4*O42 + ('Станд.норм.распр.'!K43 * $B$5)</f>
        <v>6706.5437146531767</v>
      </c>
    </row>
    <row r="43" spans="3:27" x14ac:dyDescent="0.3">
      <c r="C43" s="4" t="s">
        <v>51</v>
      </c>
      <c r="D43" s="4" t="s">
        <v>5</v>
      </c>
      <c r="E43" s="4">
        <v>733</v>
      </c>
      <c r="F43">
        <f>$E43+'Станд.норм.распр.'!B43</f>
        <v>732.74406136971083</v>
      </c>
      <c r="G43">
        <f>$E43+'Станд.норм.распр.'!C43</f>
        <v>733.42740111894091</v>
      </c>
      <c r="H43">
        <f>$E43+'Станд.норм.распр.'!D43</f>
        <v>733.57576244216762</v>
      </c>
      <c r="I43">
        <f>$E43+'Станд.норм.распр.'!E43</f>
        <v>732.85255271894857</v>
      </c>
      <c r="J43">
        <f>$E43+'Станд.норм.распр.'!F43</f>
        <v>734.14427393782535</v>
      </c>
      <c r="K43">
        <f>$E43+'Станд.норм.распр.'!G43</f>
        <v>732.28640590951545</v>
      </c>
      <c r="L43">
        <f>$E43+'Станд.норм.распр.'!H43</f>
        <v>732.9711940290581</v>
      </c>
      <c r="M43">
        <f>$E43+'Станд.норм.распр.'!I43</f>
        <v>732.88026274877484</v>
      </c>
      <c r="N43">
        <f>$E43+'Станд.норм.распр.'!J43</f>
        <v>733.61436219059397</v>
      </c>
      <c r="O43">
        <f>$E43+'Станд.норм.распр.'!K43</f>
        <v>735.55895429290831</v>
      </c>
      <c r="P43" s="4" t="s">
        <v>269</v>
      </c>
      <c r="Q43" s="4" t="s">
        <v>5</v>
      </c>
      <c r="R43" s="2">
        <f>$B$3 + $B$4*F43 + ('Станд.норм.распр.'!B44 * $B$5)</f>
        <v>8073.7669612033205</v>
      </c>
      <c r="S43" s="2">
        <f>$B$3 + $B$4*G43 + ('Станд.норм.распр.'!C44 * $B$5)</f>
        <v>8079.5775023004826</v>
      </c>
      <c r="T43" s="2">
        <f>$B$3 + $B$4*H43 + ('Станд.норм.распр.'!D44 * $B$5)</f>
        <v>8082.2765426516999</v>
      </c>
      <c r="U43" s="2">
        <f>$B$3 + $B$4*I43 + ('Станд.норм.распр.'!E44 * $B$5)</f>
        <v>8072.3172527966672</v>
      </c>
      <c r="V43" s="2">
        <f>$B$3 + $B$4*J43 + ('Станд.норм.распр.'!F44 * $B$5)</f>
        <v>8097.4103278974944</v>
      </c>
      <c r="W43" s="2">
        <f>$B$3 + $B$4*K43 + ('Станд.норм.распр.'!G44 * $B$5)</f>
        <v>8068.7444665697985</v>
      </c>
      <c r="X43" s="2">
        <f>$B$3 + $B$4*L43 + ('Станд.норм.распр.'!H44 * $B$5)</f>
        <v>8074.3077569848101</v>
      </c>
      <c r="Y43" s="2">
        <f>$B$3 + $B$4*M43 + ('Станд.норм.распр.'!I44 * $B$5)</f>
        <v>8098.4171654988604</v>
      </c>
      <c r="Z43" s="2">
        <f>$B$3 + $B$4*N43 + ('Станд.норм.распр.'!J44 * $B$5)</f>
        <v>8092.6546570401406</v>
      </c>
      <c r="AA43" s="2">
        <f>$B$3 + $B$4*O43 + ('Станд.норм.распр.'!K44 * $B$5)</f>
        <v>8102.3323946708406</v>
      </c>
    </row>
    <row r="44" spans="3:27" x14ac:dyDescent="0.3">
      <c r="C44" s="4" t="s">
        <v>52</v>
      </c>
      <c r="D44" s="4" t="s">
        <v>5</v>
      </c>
      <c r="E44" s="4">
        <v>526</v>
      </c>
      <c r="F44">
        <f>$E44+'Станд.норм.распр.'!B44</f>
        <v>525.95358734850015</v>
      </c>
      <c r="G44">
        <f>$E44+'Станд.норм.распр.'!C44</f>
        <v>525.76400999912585</v>
      </c>
      <c r="H44">
        <f>$E44+'Станд.норм.распр.'!D44</f>
        <v>525.88257286531734</v>
      </c>
      <c r="I44">
        <f>$E44+'Станд.норм.распр.'!E44</f>
        <v>525.65990809869254</v>
      </c>
      <c r="J44">
        <f>$E44+'Станд.норм.распр.'!F44</f>
        <v>526.86925717571285</v>
      </c>
      <c r="K44">
        <f>$E44+'Станд.норм.распр.'!G44</f>
        <v>525.95488906279206</v>
      </c>
      <c r="L44">
        <f>$E44+'Станд.норм.распр.'!H44</f>
        <v>525.73606918501901</v>
      </c>
      <c r="M44">
        <f>$E44+'Станд.норм.распр.'!I44</f>
        <v>528.52603058470413</v>
      </c>
      <c r="N44">
        <f>$E44+'Станд.норм.распр.'!J44</f>
        <v>526.98851921595633</v>
      </c>
      <c r="O44">
        <f>$E44+'Станд.норм.распр.'!K44</f>
        <v>525.6870997165388</v>
      </c>
      <c r="P44" s="4" t="s">
        <v>270</v>
      </c>
      <c r="Q44" s="4" t="s">
        <v>5</v>
      </c>
      <c r="R44" s="2">
        <f>$B$3 + $B$4*F44 + ('Станд.норм.распр.'!B45 * $B$5)</f>
        <v>5802.4992721137096</v>
      </c>
      <c r="S44" s="2">
        <f>$B$3 + $B$4*G44 + ('Станд.норм.распр.'!C45 * $B$5)</f>
        <v>5791.4114789589803</v>
      </c>
      <c r="T44" s="2">
        <f>$B$3 + $B$4*H44 + ('Станд.норм.распр.'!D45 * $B$5)</f>
        <v>5790.2839567766932</v>
      </c>
      <c r="U44" s="2">
        <f>$B$3 + $B$4*I44 + ('Станд.норм.распр.'!E45 * $B$5)</f>
        <v>5797.7854224653129</v>
      </c>
      <c r="V44" s="2">
        <f>$B$3 + $B$4*J44 + ('Станд.норм.распр.'!F45 * $B$5)</f>
        <v>5807.4704663297452</v>
      </c>
      <c r="W44" s="2">
        <f>$B$3 + $B$4*K44 + ('Станд.норм.распр.'!G45 * $B$5)</f>
        <v>5811.0263181340997</v>
      </c>
      <c r="X44" s="2">
        <f>$B$3 + $B$4*L44 + ('Станд.норм.распр.'!H45 * $B$5)</f>
        <v>5800.629581791145</v>
      </c>
      <c r="Y44" s="2">
        <f>$B$3 + $B$4*M44 + ('Станд.норм.распр.'!I45 * $B$5)</f>
        <v>5819.3598634723458</v>
      </c>
      <c r="Z44" s="2">
        <f>$B$3 + $B$4*N44 + ('Станд.норм.распр.'!J45 * $B$5)</f>
        <v>5807.5938415597775</v>
      </c>
      <c r="AA44" s="2">
        <f>$B$3 + $B$4*O44 + ('Станд.норм.распр.'!K45 * $B$5)</f>
        <v>5793.0958142613235</v>
      </c>
    </row>
    <row r="45" spans="3:27" x14ac:dyDescent="0.3">
      <c r="C45" s="4" t="s">
        <v>53</v>
      </c>
      <c r="D45" s="4" t="s">
        <v>5</v>
      </c>
      <c r="E45" s="4">
        <v>270</v>
      </c>
      <c r="F45">
        <f>$E45+'Станд.норм.распр.'!B45</f>
        <v>270.33442347557866</v>
      </c>
      <c r="G45">
        <f>$E45+'Станд.норм.распр.'!C45</f>
        <v>269.33415210762178</v>
      </c>
      <c r="H45">
        <f>$E45+'Станд.норм.распр.'!D45</f>
        <v>269.06396169535583</v>
      </c>
      <c r="I45">
        <f>$E45+'Станд.норм.распр.'!E45</f>
        <v>270.16960370885499</v>
      </c>
      <c r="J45">
        <f>$E45+'Станд.норм.распр.'!F45</f>
        <v>269.76762637743377</v>
      </c>
      <c r="K45">
        <f>$E45+'Станд.норм.распр.'!G45</f>
        <v>271.28028204926522</v>
      </c>
      <c r="L45">
        <f>$E45+'Станд.норм.распр.'!H45</f>
        <v>270.39253563954844</v>
      </c>
      <c r="M45">
        <f>$E45+'Станд.норм.распр.'!I45</f>
        <v>269.06372522673337</v>
      </c>
      <c r="N45">
        <f>$E45+'Станд.норм.распр.'!J45</f>
        <v>269.6355700204731</v>
      </c>
      <c r="O45">
        <f>$E45+'Станд.норм.распр.'!K45</f>
        <v>269.61530193104409</v>
      </c>
      <c r="P45" s="4" t="s">
        <v>271</v>
      </c>
      <c r="Q45" s="4" t="s">
        <v>5</v>
      </c>
      <c r="R45" s="2">
        <f>$B$3 + $B$4*F45 + ('Станд.норм.распр.'!B46 * $B$5)</f>
        <v>2984.1763078216754</v>
      </c>
      <c r="S45" s="2">
        <f>$B$3 + $B$4*G45 + ('Станд.норм.распр.'!C46 * $B$5)</f>
        <v>2978.4197884360619</v>
      </c>
      <c r="T45" s="2">
        <f>$B$3 + $B$4*H45 + ('Станд.норм.распр.'!D46 * $B$5)</f>
        <v>2962.9283106110815</v>
      </c>
      <c r="U45" s="2">
        <f>$B$3 + $B$4*I45 + ('Станд.норм.распр.'!E46 * $B$5)</f>
        <v>2982.892203620926</v>
      </c>
      <c r="V45" s="2">
        <f>$B$3 + $B$4*J45 + ('Станд.норм.распр.'!F46 * $B$5)</f>
        <v>2991.5009461397713</v>
      </c>
      <c r="W45" s="2">
        <f>$B$3 + $B$4*K45 + ('Станд.норм.распр.'!G46 * $B$5)</f>
        <v>3004.6942570457613</v>
      </c>
      <c r="X45" s="2">
        <f>$B$3 + $B$4*L45 + ('Станд.норм.распр.'!H46 * $B$5)</f>
        <v>2989.3712676617579</v>
      </c>
      <c r="Y45" s="2">
        <f>$B$3 + $B$4*M45 + ('Станд.норм.распр.'!I46 * $B$5)</f>
        <v>2977.7103962110996</v>
      </c>
      <c r="Z45" s="2">
        <f>$B$3 + $B$4*N45 + ('Станд.норм.распр.'!J46 * $B$5)</f>
        <v>2970.6349912736041</v>
      </c>
      <c r="AA45" s="2">
        <f>$B$3 + $B$4*O45 + ('Станд.норм.распр.'!K46 * $B$5)</f>
        <v>2982.199349420247</v>
      </c>
    </row>
    <row r="46" spans="3:27" x14ac:dyDescent="0.3">
      <c r="C46" s="4" t="s">
        <v>54</v>
      </c>
      <c r="D46" s="4" t="s">
        <v>5</v>
      </c>
      <c r="E46" s="4">
        <v>728</v>
      </c>
      <c r="F46">
        <f>$E46+'Станд.норм.распр.'!B46</f>
        <v>727.61084995447891</v>
      </c>
      <c r="G46">
        <f>$E46+'Станд.норм.распр.'!C46</f>
        <v>728.19379058358027</v>
      </c>
      <c r="H46">
        <f>$E46+'Станд.норм.распр.'!D46</f>
        <v>726.80274799579638</v>
      </c>
      <c r="I46">
        <f>$E46+'Станд.норм.распр.'!E46</f>
        <v>727.66961809150234</v>
      </c>
      <c r="J46">
        <f>$E46+'Станд.норм.распр.'!F46</f>
        <v>729.11745066533331</v>
      </c>
      <c r="K46">
        <f>$E46+'Станд.норм.распр.'!G46</f>
        <v>728.73457272264932</v>
      </c>
      <c r="L46">
        <f>$E46+'Станд.норм.распр.'!H46</f>
        <v>728.11704173630278</v>
      </c>
      <c r="M46">
        <f>$E46+'Станд.норм.распр.'!I46</f>
        <v>728.44549096855917</v>
      </c>
      <c r="N46">
        <f>$E46+'Станд.норм.распр.'!J46</f>
        <v>726.96041344982223</v>
      </c>
      <c r="O46">
        <f>$E46+'Станд.норм.распр.'!K46</f>
        <v>728.27011424208467</v>
      </c>
      <c r="P46" s="4" t="s">
        <v>272</v>
      </c>
      <c r="Q46" s="4" t="s">
        <v>5</v>
      </c>
      <c r="R46" s="2">
        <f>$B$3 + $B$4*F46 + ('Станд.норм.распр.'!B47 * $B$5)</f>
        <v>8007.443373589078</v>
      </c>
      <c r="S46" s="2">
        <f>$B$3 + $B$4*G46 + ('Станд.норм.распр.'!C47 * $B$5)</f>
        <v>8019.478246314131</v>
      </c>
      <c r="T46" s="2">
        <f>$B$3 + $B$4*H46 + ('Станд.норм.распр.'!D47 * $B$5)</f>
        <v>8016.6293064567726</v>
      </c>
      <c r="U46" s="2">
        <f>$B$3 + $B$4*I46 + ('Станд.норм.распр.'!E47 * $B$5)</f>
        <v>8012.0398972840776</v>
      </c>
      <c r="V46" s="2">
        <f>$B$3 + $B$4*J46 + ('Станд.норм.распр.'!F47 * $B$5)</f>
        <v>8041.8620273295091</v>
      </c>
      <c r="W46" s="2">
        <f>$B$3 + $B$4*K46 + ('Станд.норм.распр.'!G47 * $B$5)</f>
        <v>8031.7606300641928</v>
      </c>
      <c r="X46" s="2">
        <f>$B$3 + $B$4*L46 + ('Станд.норм.распр.'!H47 * $B$5)</f>
        <v>8024.8523231776489</v>
      </c>
      <c r="Y46" s="2">
        <f>$B$3 + $B$4*M46 + ('Станд.норм.распр.'!I47 * $B$5)</f>
        <v>8019.1533202369756</v>
      </c>
      <c r="Z46" s="2">
        <f>$B$3 + $B$4*N46 + ('Станд.норм.распр.'!J47 * $B$5)</f>
        <v>8008.9360419779696</v>
      </c>
      <c r="AA46" s="2">
        <f>$B$3 + $B$4*O46 + ('Станд.норм.распр.'!K47 * $B$5)</f>
        <v>8017.4510769839544</v>
      </c>
    </row>
    <row r="47" spans="3:27" x14ac:dyDescent="0.3">
      <c r="C47" s="4" t="s">
        <v>55</v>
      </c>
      <c r="D47" s="4" t="s">
        <v>5</v>
      </c>
      <c r="E47" s="4">
        <v>643</v>
      </c>
      <c r="F47">
        <f>$E47+'Станд.норм.распр.'!B47</f>
        <v>641.85822489886777</v>
      </c>
      <c r="G47">
        <f>$E47+'Станд.норм.распр.'!C47</f>
        <v>642.48294998830534</v>
      </c>
      <c r="H47">
        <f>$E47+'Станд.норм.распр.'!D47</f>
        <v>643.86656427811249</v>
      </c>
      <c r="I47">
        <f>$E47+'Станд.норм.распр.'!E47</f>
        <v>642.29712203083909</v>
      </c>
      <c r="J47">
        <f>$E47+'Станд.норм.распр.'!F47</f>
        <v>643.84111889009364</v>
      </c>
      <c r="K47">
        <f>$E47+'Станд.норм.распр.'!G47</f>
        <v>643.1867033461167</v>
      </c>
      <c r="L47">
        <f>$E47+'Станд.норм.распр.'!H47</f>
        <v>643.17387378647982</v>
      </c>
      <c r="M47">
        <f>$E47+'Станд.норм.распр.'!I47</f>
        <v>642.13921328698052</v>
      </c>
      <c r="N47">
        <f>$E47+'Станд.норм.распр.'!J47</f>
        <v>642.8190548922139</v>
      </c>
      <c r="O47">
        <f>$E47+'Станд.норм.распр.'!K47</f>
        <v>642.16442448011367</v>
      </c>
      <c r="P47" s="4" t="s">
        <v>273</v>
      </c>
      <c r="Q47" s="4" t="s">
        <v>5</v>
      </c>
      <c r="R47" s="2">
        <f>$B$3 + $B$4*F47 + ('Станд.норм.распр.'!B48 * $B$5)</f>
        <v>7067.2254274072766</v>
      </c>
      <c r="S47" s="2">
        <f>$B$3 + $B$4*G47 + ('Станд.норм.распр.'!C48 * $B$5)</f>
        <v>7085.4622593274253</v>
      </c>
      <c r="T47" s="2">
        <f>$B$3 + $B$4*H47 + ('Станд.норм.распр.'!D48 * $B$5)</f>
        <v>7089.0091010810575</v>
      </c>
      <c r="U47" s="2">
        <f>$B$3 + $B$4*I47 + ('Станд.норм.распр.'!E48 * $B$5)</f>
        <v>7087.1015439465846</v>
      </c>
      <c r="V47" s="2">
        <f>$B$3 + $B$4*J47 + ('Станд.норм.распр.'!F48 * $B$5)</f>
        <v>7099.5616247714788</v>
      </c>
      <c r="W47" s="2">
        <f>$B$3 + $B$4*K47 + ('Станд.норм.распр.'!G48 * $B$5)</f>
        <v>7076.7141265137179</v>
      </c>
      <c r="X47" s="2">
        <f>$B$3 + $B$4*L47 + ('Станд.норм.распр.'!H48 * $B$5)</f>
        <v>7096.4533163519372</v>
      </c>
      <c r="Y47" s="2">
        <f>$B$3 + $B$4*M47 + ('Станд.норм.распр.'!I48 * $B$5)</f>
        <v>7082.0086248645675</v>
      </c>
      <c r="Z47" s="2">
        <f>$B$3 + $B$4*N47 + ('Станд.норм.распр.'!J48 * $B$5)</f>
        <v>7091.2415365442139</v>
      </c>
      <c r="AA47" s="2">
        <f>$B$3 + $B$4*O47 + ('Станд.норм.распр.'!K48 * $B$5)</f>
        <v>7068.6278864273045</v>
      </c>
    </row>
    <row r="48" spans="3:27" x14ac:dyDescent="0.3">
      <c r="C48" s="4" t="s">
        <v>56</v>
      </c>
      <c r="D48" s="4" t="s">
        <v>5</v>
      </c>
      <c r="E48" s="4">
        <v>847</v>
      </c>
      <c r="F48">
        <f>$E48+'Станд.норм.распр.'!B48</f>
        <v>846.19832816885901</v>
      </c>
      <c r="G48">
        <f>$E48+'Станд.норм.распр.'!C48</f>
        <v>847.46108993956295</v>
      </c>
      <c r="H48">
        <f>$E48+'Станд.норм.распр.'!D48</f>
        <v>846.16409933575778</v>
      </c>
      <c r="I48">
        <f>$E48+'Станд.норм.распр.'!E48</f>
        <v>847.87035573415051</v>
      </c>
      <c r="J48">
        <f>$E48+'Станд.норм.распр.'!F48</f>
        <v>847.36770188671653</v>
      </c>
      <c r="K48">
        <f>$E48+'Станд.норм.распр.'!G48</f>
        <v>845.6289321896038</v>
      </c>
      <c r="L48">
        <f>$E48+'Станд.норм.распр.'!H48</f>
        <v>847.83785607785103</v>
      </c>
      <c r="M48">
        <f>$E48+'Станд.норм.распр.'!I48</f>
        <v>847.49747541197576</v>
      </c>
      <c r="N48">
        <f>$E48+'Станд.норм.распр.'!J48</f>
        <v>847.69243696998456</v>
      </c>
      <c r="O48">
        <f>$E48+'Станд.норм.распр.'!K48</f>
        <v>845.97991301622824</v>
      </c>
      <c r="P48" s="4" t="s">
        <v>274</v>
      </c>
      <c r="Q48" s="4" t="s">
        <v>5</v>
      </c>
      <c r="R48" s="2">
        <f>$B$3 + $B$4*F48 + ('Станд.норм.распр.'!B49 * $B$5)</f>
        <v>9323.6026760022069</v>
      </c>
      <c r="S48" s="2">
        <f>$B$3 + $B$4*G48 + ('Станд.норм.распр.'!C49 * $B$5)</f>
        <v>9335.1142197915178</v>
      </c>
      <c r="T48" s="2">
        <f>$B$3 + $B$4*H48 + ('Станд.норм.распр.'!D49 * $B$5)</f>
        <v>9309.0375469526916</v>
      </c>
      <c r="U48" s="2">
        <f>$B$3 + $B$4*I48 + ('Станд.норм.распр.'!E49 * $B$5)</f>
        <v>9321.0249247275497</v>
      </c>
      <c r="V48" s="2">
        <f>$B$3 + $B$4*J48 + ('Станд.норм.распр.'!F49 * $B$5)</f>
        <v>9352.6851890399994</v>
      </c>
      <c r="W48" s="2">
        <f>$B$3 + $B$4*K48 + ('Станд.норм.распр.'!G49 * $B$5)</f>
        <v>9322.8519870334421</v>
      </c>
      <c r="X48" s="2">
        <f>$B$3 + $B$4*L48 + ('Станд.норм.распр.'!H49 * $B$5)</f>
        <v>9339.9612967713038</v>
      </c>
      <c r="Y48" s="2">
        <f>$B$3 + $B$4*M48 + ('Станд.норм.распр.'!I49 * $B$5)</f>
        <v>9328.3845115164295</v>
      </c>
      <c r="Z48" s="2">
        <f>$B$3 + $B$4*N48 + ('Станд.норм.распр.'!J49 * $B$5)</f>
        <v>9336.4992710829538</v>
      </c>
      <c r="AA48" s="2">
        <f>$B$3 + $B$4*O48 + ('Станд.норм.распр.'!K49 * $B$5)</f>
        <v>9307.9872852084518</v>
      </c>
    </row>
    <row r="49" spans="3:27" x14ac:dyDescent="0.3">
      <c r="C49" s="4" t="s">
        <v>57</v>
      </c>
      <c r="D49" s="4" t="s">
        <v>5</v>
      </c>
      <c r="E49" s="4">
        <v>980</v>
      </c>
      <c r="F49">
        <f>$E49+'Станд.норм.распр.'!B49</f>
        <v>980.15789623830642</v>
      </c>
      <c r="G49">
        <f>$E49+'Станд.норм.распр.'!C49</f>
        <v>979.89358116181393</v>
      </c>
      <c r="H49">
        <f>$E49+'Станд.норм.распр.'!D49</f>
        <v>978.58138380659511</v>
      </c>
      <c r="I49">
        <f>$E49+'Станд.норм.распр.'!E49</f>
        <v>977.82789018354379</v>
      </c>
      <c r="J49">
        <f>$E49+'Станд.норм.распр.'!F49</f>
        <v>981.96005203179084</v>
      </c>
      <c r="K49">
        <f>$E49+'Станд.норм.распр.'!G49</f>
        <v>980.77041477197781</v>
      </c>
      <c r="L49">
        <f>$E49+'Станд.норм.распр.'!H49</f>
        <v>979.97165332388249</v>
      </c>
      <c r="M49">
        <f>$E49+'Станд.норм.распр.'!I49</f>
        <v>979.10136466496624</v>
      </c>
      <c r="N49">
        <f>$E49+'Станд.норм.распр.'!J49</f>
        <v>979.76471826812485</v>
      </c>
      <c r="O49">
        <f>$E49+'Станд.норм.распр.'!K49</f>
        <v>978.68980466999346</v>
      </c>
      <c r="P49" s="4" t="s">
        <v>275</v>
      </c>
      <c r="Q49" s="4" t="s">
        <v>5</v>
      </c>
      <c r="R49" s="2">
        <f>$B$3 + $B$4*F49 + ('Станд.норм.распр.'!B50 * $B$5)</f>
        <v>10798.130776005695</v>
      </c>
      <c r="S49" s="2">
        <f>$B$3 + $B$4*G49 + ('Станд.норм.распр.'!C50 * $B$5)</f>
        <v>10785.761479805064</v>
      </c>
      <c r="T49" s="2">
        <f>$B$3 + $B$4*H49 + ('Станд.норм.распр.'!D50 * $B$5)</f>
        <v>10775.36938756943</v>
      </c>
      <c r="U49" s="2">
        <f>$B$3 + $B$4*I49 + ('Станд.норм.распр.'!E50 * $B$5)</f>
        <v>10779.149629537773</v>
      </c>
      <c r="V49" s="2">
        <f>$B$3 + $B$4*J49 + ('Станд.норм.распр.'!F50 * $B$5)</f>
        <v>10816.850026653032</v>
      </c>
      <c r="W49" s="2">
        <f>$B$3 + $B$4*K49 + ('Станд.норм.распр.'!G50 * $B$5)</f>
        <v>10802.153999715432</v>
      </c>
      <c r="X49" s="2">
        <f>$B$3 + $B$4*L49 + ('Станд.норм.распр.'!H50 * $B$5)</f>
        <v>10810.325527667505</v>
      </c>
      <c r="Y49" s="2">
        <f>$B$3 + $B$4*M49 + ('Станд.норм.распр.'!I50 * $B$5)</f>
        <v>10789.860666786029</v>
      </c>
      <c r="Z49" s="2">
        <f>$B$3 + $B$4*N49 + ('Станд.норм.распр.'!J50 * $B$5)</f>
        <v>10795.433495526726</v>
      </c>
      <c r="AA49" s="2">
        <f>$B$3 + $B$4*O49 + ('Станд.норм.распр.'!K50 * $B$5)</f>
        <v>10775.989495836388</v>
      </c>
    </row>
    <row r="50" spans="3:27" x14ac:dyDescent="0.3">
      <c r="C50" s="4" t="s">
        <v>58</v>
      </c>
      <c r="D50" s="4" t="s">
        <v>5</v>
      </c>
      <c r="E50" s="4">
        <v>337</v>
      </c>
      <c r="F50">
        <f>$E50+'Станд.норм.распр.'!B50</f>
        <v>337.26599082048051</v>
      </c>
      <c r="G50">
        <f>$E50+'Станд.норм.распр.'!C50</f>
        <v>336.21467633612338</v>
      </c>
      <c r="H50">
        <f>$E50+'Станд.норм.распр.'!D50</f>
        <v>336.66379618854262</v>
      </c>
      <c r="I50">
        <f>$E50+'Станд.норм.распр.'!E50</f>
        <v>338.00475972431013</v>
      </c>
      <c r="J50">
        <f>$E50+'Станд.норм.распр.'!F50</f>
        <v>337.14327270037029</v>
      </c>
      <c r="K50">
        <f>$E50+'Станд.норм.распр.'!G50</f>
        <v>336.96438191374182</v>
      </c>
      <c r="L50">
        <f>$E50+'Станд.норм.распр.'!H50</f>
        <v>338.84859345608857</v>
      </c>
      <c r="M50">
        <f>$E50+'Станд.норм.распр.'!I50</f>
        <v>337.63840616348898</v>
      </c>
      <c r="N50">
        <f>$E50+'Станд.норм.распр.'!J50</f>
        <v>337.44684384192806</v>
      </c>
      <c r="O50">
        <f>$E50+'Станд.норм.распр.'!K50</f>
        <v>336.60018271849549</v>
      </c>
      <c r="P50" s="4" t="s">
        <v>276</v>
      </c>
      <c r="Q50" s="4" t="s">
        <v>5</v>
      </c>
      <c r="R50" s="2">
        <f>$B$3 + $B$4*F50 + ('Станд.норм.распр.'!B51 * $B$5)</f>
        <v>3739.1888617589721</v>
      </c>
      <c r="S50" s="2">
        <f>$B$3 + $B$4*G50 + ('Станд.норм.распр.'!C51 * $B$5)</f>
        <v>3717.1658602387615</v>
      </c>
      <c r="T50" s="2">
        <f>$B$3 + $B$4*H50 + ('Станд.норм.распр.'!D51 * $B$5)</f>
        <v>3730.9522276286734</v>
      </c>
      <c r="U50" s="2">
        <f>$B$3 + $B$4*I50 + ('Станд.норм.распр.'!E51 * $B$5)</f>
        <v>3731.9682638139348</v>
      </c>
      <c r="V50" s="2">
        <f>$B$3 + $B$4*J50 + ('Станд.норм.распр.'!F51 * $B$5)</f>
        <v>3710.534462656593</v>
      </c>
      <c r="W50" s="2">
        <f>$B$3 + $B$4*K50 + ('Станд.норм.распр.'!G51 * $B$5)</f>
        <v>3708.1278828322829</v>
      </c>
      <c r="X50" s="2">
        <f>$B$3 + $B$4*L50 + ('Станд.норм.распр.'!H51 * $B$5)</f>
        <v>3737.2390085733932</v>
      </c>
      <c r="Y50" s="2">
        <f>$B$3 + $B$4*M50 + ('Станд.норм.распр.'!I51 * $B$5)</f>
        <v>3728.6967853601673</v>
      </c>
      <c r="Z50" s="2">
        <f>$B$3 + $B$4*N50 + ('Станд.норм.распр.'!J51 * $B$5)</f>
        <v>3722.5853277091082</v>
      </c>
      <c r="AA50" s="2">
        <f>$B$3 + $B$4*O50 + ('Станд.норм.распр.'!K51 * $B$5)</f>
        <v>3716.0919129787508</v>
      </c>
    </row>
    <row r="51" spans="3:27" x14ac:dyDescent="0.3">
      <c r="C51" s="4" t="s">
        <v>59</v>
      </c>
      <c r="D51" s="4" t="s">
        <v>5</v>
      </c>
      <c r="E51" s="4">
        <v>972</v>
      </c>
      <c r="F51">
        <f>$E51+'Станд.норм.распр.'!B51</f>
        <v>973.69588474818738</v>
      </c>
      <c r="G51">
        <f>$E51+'Станд.норм.распр.'!C51</f>
        <v>972.53382450460049</v>
      </c>
      <c r="H51">
        <f>$E51+'Станд.норм.распр.'!D51</f>
        <v>973.51671883941162</v>
      </c>
      <c r="I51">
        <f>$E51+'Станд.норм.распр.'!E51</f>
        <v>971.99065631628036</v>
      </c>
      <c r="J51">
        <f>$E51+'Станд.норм.распр.'!F51</f>
        <v>970.66205143916886</v>
      </c>
      <c r="K51">
        <f>$E51+'Станд.норм.распр.'!G51</f>
        <v>970.61329797568033</v>
      </c>
      <c r="L51">
        <f>$E51+'Станд.норм.распр.'!H51</f>
        <v>971.54494228404656</v>
      </c>
      <c r="M51">
        <f>$E51+'Станд.норм.распр.'!I51</f>
        <v>972.07492417353205</v>
      </c>
      <c r="N51">
        <f>$E51+'Станд.норм.распр.'!J51</f>
        <v>971.63000504976662</v>
      </c>
      <c r="O51">
        <f>$E51+'Станд.норм.распр.'!K51</f>
        <v>971.94332256392227</v>
      </c>
      <c r="P51" s="4" t="s">
        <v>277</v>
      </c>
      <c r="Q51" s="4" t="s">
        <v>5</v>
      </c>
      <c r="R51" s="2">
        <f>$B$3 + $B$4*F51 + ('Станд.норм.распр.'!B52 * $B$5)</f>
        <v>10728.84824176968</v>
      </c>
      <c r="S51" s="2">
        <f>$B$3 + $B$4*G51 + ('Станд.норм.распр.'!C52 * $B$5)</f>
        <v>10706.614451209913</v>
      </c>
      <c r="T51" s="2">
        <f>$B$3 + $B$4*H51 + ('Станд.норм.распр.'!D52 * $B$5)</f>
        <v>10731.269648631365</v>
      </c>
      <c r="U51" s="2">
        <f>$B$3 + $B$4*I51 + ('Станд.норм.распр.'!E52 * $B$5)</f>
        <v>10696.538587209943</v>
      </c>
      <c r="V51" s="2">
        <f>$B$3 + $B$4*J51 + ('Станд.норм.распр.'!F52 * $B$5)</f>
        <v>10680.876031956228</v>
      </c>
      <c r="W51" s="2">
        <f>$B$3 + $B$4*K51 + ('Станд.норм.распр.'!G52 * $B$5)</f>
        <v>10688.308823973653</v>
      </c>
      <c r="X51" s="2">
        <f>$B$3 + $B$4*L51 + ('Станд.норм.распр.'!H52 * $B$5)</f>
        <v>10686.65197928554</v>
      </c>
      <c r="Y51" s="2">
        <f>$B$3 + $B$4*M51 + ('Станд.норм.распр.'!I52 * $B$5)</f>
        <v>10709.464383553364</v>
      </c>
      <c r="Z51" s="2">
        <f>$B$3 + $B$4*N51 + ('Станд.норм.распр.'!J52 * $B$5)</f>
        <v>10707.963129852826</v>
      </c>
      <c r="AA51" s="2">
        <f>$B$3 + $B$4*O51 + ('Станд.норм.распр.'!K52 * $B$5)</f>
        <v>10708.398023752903</v>
      </c>
    </row>
    <row r="52" spans="3:27" x14ac:dyDescent="0.3">
      <c r="C52" s="4" t="s">
        <v>60</v>
      </c>
      <c r="D52" s="4" t="s">
        <v>5</v>
      </c>
      <c r="E52" s="4">
        <v>174</v>
      </c>
      <c r="F52">
        <f>$E52+'Станд.норм.распр.'!B52</f>
        <v>174.46594550440204</v>
      </c>
      <c r="G52">
        <f>$E52+'Станд.норм.распр.'!C52</f>
        <v>173.41582018436748</v>
      </c>
      <c r="H52">
        <f>$E52+'Станд.норм.распр.'!D52</f>
        <v>174.95397126642638</v>
      </c>
      <c r="I52">
        <f>$E52+'Станд.норм.распр.'!E52</f>
        <v>172.96015197009547</v>
      </c>
      <c r="J52">
        <f>$E52+'Станд.норм.распр.'!F52</f>
        <v>172.8437184583745</v>
      </c>
      <c r="K52">
        <f>$E52+'Станд.норм.распр.'!G52</f>
        <v>173.72917180457443</v>
      </c>
      <c r="L52">
        <f>$E52+'Станд.норм.распр.'!H52</f>
        <v>172.40640157344751</v>
      </c>
      <c r="M52">
        <f>$E52+'Станд.норм.распр.'!I52</f>
        <v>174.29335751605686</v>
      </c>
      <c r="N52">
        <f>$E52+'Станд.норм.распр.'!J52</f>
        <v>174.67034158948809</v>
      </c>
      <c r="O52">
        <f>$E52+'Станд.норм.распр.'!K52</f>
        <v>174.33571950552869</v>
      </c>
      <c r="P52" s="4" t="s">
        <v>278</v>
      </c>
      <c r="Q52" s="4" t="s">
        <v>5</v>
      </c>
      <c r="R52" s="2">
        <f>$B$3 + $B$4*F52 + ('Станд.норм.распр.'!B53 * $B$5)</f>
        <v>1919.7157470008533</v>
      </c>
      <c r="S52" s="2">
        <f>$B$3 + $B$4*G52 + ('Станд.норм.распр.'!C53 * $B$5)</f>
        <v>1937.3836501946498</v>
      </c>
      <c r="T52" s="2">
        <f>$B$3 + $B$4*H52 + ('Станд.норм.распр.'!D53 * $B$5)</f>
        <v>1928.3824607119896</v>
      </c>
      <c r="U52" s="2">
        <f>$B$3 + $B$4*I52 + ('Станд.норм.распр.'!E53 * $B$5)</f>
        <v>1921.5104119686002</v>
      </c>
      <c r="V52" s="2">
        <f>$B$3 + $B$4*J52 + ('Станд.норм.распр.'!F53 * $B$5)</f>
        <v>1907.8868816469621</v>
      </c>
      <c r="W52" s="2">
        <f>$B$3 + $B$4*K52 + ('Станд.норм.распр.'!G53 * $B$5)</f>
        <v>1937.0405308128538</v>
      </c>
      <c r="X52" s="2">
        <f>$B$3 + $B$4*L52 + ('Станд.норм.распр.'!H53 * $B$5)</f>
        <v>1908.4038054662669</v>
      </c>
      <c r="Y52" s="2">
        <f>$B$3 + $B$4*M52 + ('Станд.норм.распр.'!I53 * $B$5)</f>
        <v>1912.6552873350447</v>
      </c>
      <c r="Z52" s="2">
        <f>$B$3 + $B$4*N52 + ('Станд.норм.распр.'!J53 * $B$5)</f>
        <v>1934.6131038642779</v>
      </c>
      <c r="AA52" s="2">
        <f>$B$3 + $B$4*O52 + ('Станд.норм.распр.'!K53 * $B$5)</f>
        <v>1929.9214189705963</v>
      </c>
    </row>
    <row r="53" spans="3:27" x14ac:dyDescent="0.3">
      <c r="C53" s="4" t="s">
        <v>61</v>
      </c>
      <c r="D53" s="4" t="s">
        <v>5</v>
      </c>
      <c r="E53" s="4">
        <v>227</v>
      </c>
      <c r="F53">
        <f>$E53+'Станд.норм.распр.'!B53</f>
        <v>225.51003849471454</v>
      </c>
      <c r="G53">
        <f>$E53+'Станд.норм.распр.'!C53</f>
        <v>228.75662535184529</v>
      </c>
      <c r="H53">
        <f>$E53+'Станд.норм.распр.'!D53</f>
        <v>225.87653075347771</v>
      </c>
      <c r="I53">
        <f>$E53+'Станд.норм.распр.'!E53</f>
        <v>227.54986003306112</v>
      </c>
      <c r="J53">
        <f>$E53+'Станд.норм.распр.'!F53</f>
        <v>226.17844206720474</v>
      </c>
      <c r="K53">
        <f>$E53+'Станд.норм.распр.'!G53</f>
        <v>228.33551566250389</v>
      </c>
      <c r="L53">
        <f>$E53+'Станд.норм.распр.'!H53</f>
        <v>226.77037646203826</v>
      </c>
      <c r="M53">
        <f>$E53+'Станд.норм.распр.'!I53</f>
        <v>224.93648385093547</v>
      </c>
      <c r="N53">
        <f>$E53+'Станд.норм.распр.'!J53</f>
        <v>226.915482931101</v>
      </c>
      <c r="O53">
        <f>$E53+'Станд.норм.распр.'!K53</f>
        <v>226.8031671566423</v>
      </c>
      <c r="P53" s="4" t="s">
        <v>279</v>
      </c>
      <c r="Q53" s="4" t="s">
        <v>5</v>
      </c>
      <c r="R53" s="2">
        <f>$B$3 + $B$4*F53 + ('Станд.норм.распр.'!B54 * $B$5)</f>
        <v>2480.4560983698466</v>
      </c>
      <c r="S53" s="2">
        <f>$B$3 + $B$4*G53 + ('Станд.норм.распр.'!C54 * $B$5)</f>
        <v>2533.0588356114604</v>
      </c>
      <c r="T53" s="2">
        <f>$B$3 + $B$4*H53 + ('Станд.норм.распр.'!D54 * $B$5)</f>
        <v>2497.7837163947115</v>
      </c>
      <c r="U53" s="2">
        <f>$B$3 + $B$4*I53 + ('Станд.норм.распр.'!E54 * $B$5)</f>
        <v>2528.1449460140138</v>
      </c>
      <c r="V53" s="2">
        <f>$B$3 + $B$4*J53 + ('Станд.норм.распр.'!F54 * $B$5)</f>
        <v>2505.7740400330076</v>
      </c>
      <c r="W53" s="2">
        <f>$B$3 + $B$4*K53 + ('Станд.норм.распр.'!G54 * $B$5)</f>
        <v>2520.0451146661508</v>
      </c>
      <c r="X53" s="2">
        <f>$B$3 + $B$4*L53 + ('Станд.норм.распр.'!H54 * $B$5)</f>
        <v>2505.1559838134708</v>
      </c>
      <c r="Y53" s="2">
        <f>$B$3 + $B$4*M53 + ('Станд.норм.распр.'!I54 * $B$5)</f>
        <v>2480.8346960030904</v>
      </c>
      <c r="Z53" s="2">
        <f>$B$3 + $B$4*N53 + ('Станд.норм.распр.'!J54 * $B$5)</f>
        <v>2517.0476736507553</v>
      </c>
      <c r="AA53" s="2">
        <f>$B$3 + $B$4*O53 + ('Станд.норм.распр.'!K54 * $B$5)</f>
        <v>2504.0856526134303</v>
      </c>
    </row>
    <row r="54" spans="3:27" x14ac:dyDescent="0.3">
      <c r="C54" s="4" t="s">
        <v>62</v>
      </c>
      <c r="D54" s="4" t="s">
        <v>5</v>
      </c>
      <c r="E54" s="4">
        <v>271</v>
      </c>
      <c r="F54">
        <f>$E54+'Станд.норм.распр.'!B54</f>
        <v>269.42729721422074</v>
      </c>
      <c r="G54">
        <f>$E54+'Станд.норм.распр.'!C54</f>
        <v>271.30399519346247</v>
      </c>
      <c r="H54">
        <f>$E54+'Станд.норм.распр.'!D54</f>
        <v>270.90465312293964</v>
      </c>
      <c r="I54">
        <f>$E54+'Станд.норм.распр.'!E54</f>
        <v>272.23294285003794</v>
      </c>
      <c r="J54">
        <f>$E54+'Станд.норм.распр.'!F54</f>
        <v>271.42346414375061</v>
      </c>
      <c r="K54">
        <f>$E54+'Станд.норм.распр.'!G54</f>
        <v>270.37271581984533</v>
      </c>
      <c r="L54">
        <f>$E54+'Станд.норм.распр.'!H54</f>
        <v>270.63131585900555</v>
      </c>
      <c r="M54">
        <f>$E54+'Станд.норм.распр.'!I54</f>
        <v>270.17037484920002</v>
      </c>
      <c r="N54">
        <f>$E54+'Станд.норм.распр.'!J54</f>
        <v>271.77526237873826</v>
      </c>
      <c r="O54">
        <f>$E54+'Станд.норм.распр.'!K54</f>
        <v>270.47231265448499</v>
      </c>
      <c r="P54" s="4" t="s">
        <v>280</v>
      </c>
      <c r="Q54" s="4" t="s">
        <v>5</v>
      </c>
      <c r="R54" s="2">
        <f>$B$3 + $B$4*F54 + ('Станд.норм.распр.'!B55 * $B$5)</f>
        <v>2979.8978791305854</v>
      </c>
      <c r="S54" s="2">
        <f>$B$3 + $B$4*G54 + ('Станд.норм.распр.'!C55 * $B$5)</f>
        <v>2992.0979968111351</v>
      </c>
      <c r="T54" s="2">
        <f>$B$3 + $B$4*H54 + ('Станд.норм.распр.'!D55 * $B$5)</f>
        <v>2998.8423604564741</v>
      </c>
      <c r="U54" s="2">
        <f>$B$3 + $B$4*I54 + ('Станд.норм.распр.'!E55 * $B$5)</f>
        <v>3011.1616412697185</v>
      </c>
      <c r="V54" s="2">
        <f>$B$3 + $B$4*J54 + ('Станд.норм.распр.'!F55 * $B$5)</f>
        <v>3012.8502307335293</v>
      </c>
      <c r="W54" s="2">
        <f>$B$3 + $B$4*K54 + ('Станд.норм.распр.'!G55 * $B$5)</f>
        <v>2981.9993996526318</v>
      </c>
      <c r="X54" s="2">
        <f>$B$3 + $B$4*L54 + ('Станд.норм.распр.'!H55 * $B$5)</f>
        <v>2975.8891357133689</v>
      </c>
      <c r="Y54" s="2">
        <f>$B$3 + $B$4*M54 + ('Станд.норм.распр.'!I55 * $B$5)</f>
        <v>2994.3734468262119</v>
      </c>
      <c r="Z54" s="2">
        <f>$B$3 + $B$4*N54 + ('Станд.норм.распр.'!J55 * $B$5)</f>
        <v>3002.6759852163377</v>
      </c>
      <c r="AA54" s="2">
        <f>$B$3 + $B$4*O54 + ('Станд.норм.распр.'!K55 * $B$5)</f>
        <v>2984.1551446176309</v>
      </c>
    </row>
    <row r="55" spans="3:27" x14ac:dyDescent="0.3">
      <c r="C55" s="4" t="s">
        <v>63</v>
      </c>
      <c r="D55" s="4" t="s">
        <v>5</v>
      </c>
      <c r="E55" s="4">
        <v>323</v>
      </c>
      <c r="F55">
        <f>$E55+'Станд.норм.распр.'!B55</f>
        <v>323.24417886379524</v>
      </c>
      <c r="G55">
        <f>$E55+'Станд.норм.распр.'!C55</f>
        <v>322.30600552033866</v>
      </c>
      <c r="H55">
        <f>$E55+'Станд.норм.распр.'!D55</f>
        <v>323.5434640115709</v>
      </c>
      <c r="I55">
        <f>$E55+'Станд.норм.распр.'!E55</f>
        <v>323.28880776881124</v>
      </c>
      <c r="J55">
        <f>$E55+'Станд.норм.распр.'!F55</f>
        <v>324.46579168358585</v>
      </c>
      <c r="K55">
        <f>$E55+'Станд.норм.распр.'!G55</f>
        <v>322.32216951492592</v>
      </c>
      <c r="L55">
        <f>$E55+'Станд.норм.распр.'!H55</f>
        <v>321.32718458492309</v>
      </c>
      <c r="M55">
        <f>$E55+'Станд.норм.распр.'!I55</f>
        <v>323.94436927611241</v>
      </c>
      <c r="N55">
        <f>$E55+'Станд.норм.распр.'!J55</f>
        <v>322.90534433891298</v>
      </c>
      <c r="O55">
        <f>$E55+'Станд.норм.распр.'!K55</f>
        <v>322.43996726869955</v>
      </c>
      <c r="P55" s="4" t="s">
        <v>281</v>
      </c>
      <c r="Q55" s="4" t="s">
        <v>5</v>
      </c>
      <c r="R55" s="2">
        <f>$B$3 + $B$4*F55 + ('Станд.норм.распр.'!B56 * $B$5)</f>
        <v>3552.6319868740684</v>
      </c>
      <c r="S55" s="2">
        <f>$B$3 + $B$4*G55 + ('Станд.норм.распр.'!C56 * $B$5)</f>
        <v>3573.9462339524762</v>
      </c>
      <c r="T55" s="2">
        <f>$B$3 + $B$4*H55 + ('Станд.норм.распр.'!D56 * $B$5)</f>
        <v>3586.9503847397864</v>
      </c>
      <c r="U55" s="2">
        <f>$B$3 + $B$4*I55 + ('Станд.норм.распр.'!E56 * $B$5)</f>
        <v>3571.9546940772416</v>
      </c>
      <c r="V55" s="2">
        <f>$B$3 + $B$4*J55 + ('Станд.норм.распр.'!F56 * $B$5)</f>
        <v>3582.2503719164088</v>
      </c>
      <c r="W55" s="2">
        <f>$B$3 + $B$4*K55 + ('Станд.норм.распр.'!G56 * $B$5)</f>
        <v>3556.1267555085506</v>
      </c>
      <c r="X55" s="2">
        <f>$B$3 + $B$4*L55 + ('Станд.норм.распр.'!H56 * $B$5)</f>
        <v>3541.3345028946351</v>
      </c>
      <c r="Y55" s="2">
        <f>$B$3 + $B$4*M55 + ('Станд.норм.распр.'!I56 * $B$5)</f>
        <v>3586.1181538866658</v>
      </c>
      <c r="Z55" s="2">
        <f>$B$3 + $B$4*N55 + ('Станд.норм.распр.'!J56 * $B$5)</f>
        <v>3565.1476912580547</v>
      </c>
      <c r="AA55" s="2">
        <f>$B$3 + $B$4*O55 + ('Станд.норм.распр.'!K56 * $B$5)</f>
        <v>3549.7062379154086</v>
      </c>
    </row>
    <row r="56" spans="3:27" x14ac:dyDescent="0.3">
      <c r="C56" s="4" t="s">
        <v>64</v>
      </c>
      <c r="D56" s="4" t="s">
        <v>5</v>
      </c>
      <c r="E56" s="4">
        <v>383</v>
      </c>
      <c r="F56">
        <f>$E56+'Станд.норм.распр.'!B56</f>
        <v>381.10511326359119</v>
      </c>
      <c r="G56">
        <f>$E56+'Станд.норм.распр.'!C56</f>
        <v>384.62001924763899</v>
      </c>
      <c r="H56">
        <f>$E56+'Станд.норм.распр.'!D56</f>
        <v>384.55247562361183</v>
      </c>
      <c r="I56">
        <f>$E56+'Станд.норм.распр.'!E56</f>
        <v>383.19753429114644</v>
      </c>
      <c r="J56">
        <f>$E56+'Станд.норм.распр.'!F56</f>
        <v>382.90296259966271</v>
      </c>
      <c r="K56">
        <f>$E56+'Станд.норм.распр.'!G56</f>
        <v>382.6203212049295</v>
      </c>
      <c r="L56">
        <f>$E56+'Станд.норм.распр.'!H56</f>
        <v>382.19283027338679</v>
      </c>
      <c r="M56">
        <f>$E56+'Станд.норм.распр.'!I56</f>
        <v>383.97001020549214</v>
      </c>
      <c r="N56">
        <f>$E56+'Станд.норм.распр.'!J56</f>
        <v>382.90987817000132</v>
      </c>
      <c r="O56">
        <f>$E56+'Станд.норм.распр.'!K56</f>
        <v>381.76295532885706</v>
      </c>
      <c r="P56" s="4" t="s">
        <v>282</v>
      </c>
      <c r="Q56" s="4" t="s">
        <v>5</v>
      </c>
      <c r="R56" s="2">
        <f>$B$3 + $B$4*F56 + ('Станд.норм.распр.'!B57 * $B$5)</f>
        <v>4203.1944422971283</v>
      </c>
      <c r="S56" s="2">
        <f>$B$3 + $B$4*G56 + ('Станд.норм.распр.'!C57 * $B$5)</f>
        <v>4244.0395242093946</v>
      </c>
      <c r="T56" s="2">
        <f>$B$3 + $B$4*H56 + ('Станд.норм.распр.'!D57 * $B$5)</f>
        <v>4251.3493923335336</v>
      </c>
      <c r="U56" s="2">
        <f>$B$3 + $B$4*I56 + ('Станд.норм.распр.'!E57 * $B$5)</f>
        <v>4245.5403439445508</v>
      </c>
      <c r="V56" s="2">
        <f>$B$3 + $B$4*J56 + ('Станд.норм.распр.'!F57 * $B$5)</f>
        <v>4229.3201175736176</v>
      </c>
      <c r="W56" s="2">
        <f>$B$3 + $B$4*K56 + ('Станд.норм.распр.'!G57 * $B$5)</f>
        <v>4228.8523030576034</v>
      </c>
      <c r="X56" s="2">
        <f>$B$3 + $B$4*L56 + ('Станд.норм.распр.'!H57 * $B$5)</f>
        <v>4217.7308772889955</v>
      </c>
      <c r="Y56" s="2">
        <f>$B$3 + $B$4*M56 + ('Станд.норм.распр.'!I57 * $B$5)</f>
        <v>4236.7884776550927</v>
      </c>
      <c r="Z56" s="2">
        <f>$B$3 + $B$4*N56 + ('Станд.норм.распр.'!J57 * $B$5)</f>
        <v>4220.7586877876893</v>
      </c>
      <c r="AA56" s="2">
        <f>$B$3 + $B$4*O56 + ('Станд.норм.распр.'!K57 * $B$5)</f>
        <v>4222.695766301651</v>
      </c>
    </row>
    <row r="57" spans="3:27" x14ac:dyDescent="0.3">
      <c r="C57" s="4" t="s">
        <v>65</v>
      </c>
      <c r="D57" s="4" t="s">
        <v>5</v>
      </c>
      <c r="E57" s="4">
        <v>294</v>
      </c>
      <c r="F57">
        <f>$E57+'Станд.норм.распр.'!B57</f>
        <v>293.67091071084724</v>
      </c>
      <c r="G57">
        <f>$E57+'Станд.норм.распр.'!C57</f>
        <v>293.91325694281841</v>
      </c>
      <c r="H57">
        <f>$E57+'Станд.норм.распр.'!D57</f>
        <v>294.80801783042261</v>
      </c>
      <c r="I57">
        <f>$E57+'Станд.норм.распр.'!E57</f>
        <v>295.81860741577111</v>
      </c>
      <c r="J57">
        <f>$E57+'Станд.норм.распр.'!F57</f>
        <v>294.37639210859197</v>
      </c>
      <c r="K57">
        <f>$E57+'Станд.норм.распр.'!G57</f>
        <v>294.66986331148655</v>
      </c>
      <c r="L57">
        <f>$E57+'Станд.норм.распр.'!H57</f>
        <v>293.95663825352676</v>
      </c>
      <c r="M57">
        <f>$E57+'Станд.норм.распр.'!I57</f>
        <v>293.90204059940879</v>
      </c>
      <c r="N57">
        <f>$E57+'Станд.норм.распр.'!J57</f>
        <v>293.41666976863053</v>
      </c>
      <c r="O57">
        <f>$E57+'Станд.норм.распр.'!K57</f>
        <v>295.03369529824704</v>
      </c>
      <c r="P57" s="4" t="s">
        <v>283</v>
      </c>
      <c r="Q57" s="4" t="s">
        <v>5</v>
      </c>
      <c r="R57" s="2">
        <f>$B$3 + $B$4*F57 + ('Станд.норм.распр.'!B58 * $B$5)</f>
        <v>3246.0057305037917</v>
      </c>
      <c r="S57" s="2">
        <f>$B$3 + $B$4*G57 + ('Станд.норм.распр.'!C58 * $B$5)</f>
        <v>3245.8835330693983</v>
      </c>
      <c r="T57" s="2">
        <f>$B$3 + $B$4*H57 + ('Станд.норм.распр.'!D58 * $B$5)</f>
        <v>3262.5673243423516</v>
      </c>
      <c r="U57" s="2">
        <f>$B$3 + $B$4*I57 + ('Станд.норм.распр.'!E58 * $B$5)</f>
        <v>3266.3838699285843</v>
      </c>
      <c r="V57" s="2">
        <f>$B$3 + $B$4*J57 + ('Станд.норм.распр.'!F58 * $B$5)</f>
        <v>3266.9957631846482</v>
      </c>
      <c r="W57" s="2">
        <f>$B$3 + $B$4*K57 + ('Станд.норм.распр.'!G58 * $B$5)</f>
        <v>3251.5490313621267</v>
      </c>
      <c r="X57" s="2">
        <f>$B$3 + $B$4*L57 + ('Станд.норм.распр.'!H58 * $B$5)</f>
        <v>3239.166738083004</v>
      </c>
      <c r="Y57" s="2">
        <f>$B$3 + $B$4*M57 + ('Станд.норм.распр.'!I58 * $B$5)</f>
        <v>3242.0073075777036</v>
      </c>
      <c r="Z57" s="2">
        <f>$B$3 + $B$4*N57 + ('Станд.норм.распр.'!J58 * $B$5)</f>
        <v>3248.4570396463678</v>
      </c>
      <c r="AA57" s="2">
        <f>$B$3 + $B$4*O57 + ('Станд.норм.распр.'!K58 * $B$5)</f>
        <v>3258.680450941436</v>
      </c>
    </row>
    <row r="58" spans="3:27" x14ac:dyDescent="0.3">
      <c r="C58" s="4" t="s">
        <v>66</v>
      </c>
      <c r="D58" s="4" t="s">
        <v>5</v>
      </c>
      <c r="E58" s="4">
        <v>331</v>
      </c>
      <c r="F58">
        <f>$E58+'Станд.норм.распр.'!B58</f>
        <v>331.18063474271912</v>
      </c>
      <c r="G58">
        <f>$E58+'Станд.норм.распр.'!C58</f>
        <v>330.87085629982175</v>
      </c>
      <c r="H58">
        <f>$E58+'Станд.норм.распр.'!D58</f>
        <v>331.63101424530032</v>
      </c>
      <c r="I58">
        <f>$E58+'Станд.норм.распр.'!E58</f>
        <v>330.81990981723357</v>
      </c>
      <c r="J58">
        <f>$E58+'Станд.норм.распр.'!F58</f>
        <v>332.65060555445962</v>
      </c>
      <c r="K58">
        <f>$E58+'Станд.норм.распр.'!G58</f>
        <v>330.57561499286385</v>
      </c>
      <c r="L58">
        <f>$E58+'Станд.норм.распр.'!H58</f>
        <v>330.07152414380107</v>
      </c>
      <c r="M58">
        <f>$E58+'Станд.норм.распр.'!I58</f>
        <v>330.45387344268966</v>
      </c>
      <c r="N58">
        <f>$E58+'Станд.норм.распр.'!J58</f>
        <v>331.76374135460355</v>
      </c>
      <c r="O58">
        <f>$E58+'Станд.норм.распр.'!K58</f>
        <v>330.92331140674651</v>
      </c>
      <c r="P58" s="4" t="s">
        <v>284</v>
      </c>
      <c r="Q58" s="4" t="s">
        <v>5</v>
      </c>
      <c r="R58" s="2">
        <f>$B$3 + $B$4*F58 + ('Станд.норм.распр.'!B59 * $B$5)</f>
        <v>3653.5683894010435</v>
      </c>
      <c r="S58" s="2">
        <f>$B$3 + $B$4*G58 + ('Станд.норм.распр.'!C59 * $B$5)</f>
        <v>3642.8659309615614</v>
      </c>
      <c r="T58" s="2">
        <f>$B$3 + $B$4*H58 + ('Станд.норм.распр.'!D59 * $B$5)</f>
        <v>3661.0851118632854</v>
      </c>
      <c r="U58" s="2">
        <f>$B$3 + $B$4*I58 + ('Станд.норм.распр.'!E59 * $B$5)</f>
        <v>3647.2454708212172</v>
      </c>
      <c r="V58" s="2">
        <f>$B$3 + $B$4*J58 + ('Станд.норм.распр.'!F59 * $B$5)</f>
        <v>3669.1426789923571</v>
      </c>
      <c r="W58" s="2">
        <f>$B$3 + $B$4*K58 + ('Станд.норм.распр.'!G59 * $B$5)</f>
        <v>3636.5515559475898</v>
      </c>
      <c r="X58" s="2">
        <f>$B$3 + $B$4*L58 + ('Станд.норм.распр.'!H59 * $B$5)</f>
        <v>3666.4687190944096</v>
      </c>
      <c r="Y58" s="2">
        <f>$B$3 + $B$4*M58 + ('Станд.норм.распр.'!I59 * $B$5)</f>
        <v>3641.5657423470111</v>
      </c>
      <c r="Z58" s="2">
        <f>$B$3 + $B$4*N58 + ('Станд.норм.распр.'!J59 * $B$5)</f>
        <v>3669.2467752084485</v>
      </c>
      <c r="AA58" s="2">
        <f>$B$3 + $B$4*O58 + ('Станд.норм.распр.'!K59 * $B$5)</f>
        <v>3647.3626637610141</v>
      </c>
    </row>
    <row r="59" spans="3:27" x14ac:dyDescent="0.3">
      <c r="C59" s="4" t="s">
        <v>67</v>
      </c>
      <c r="D59" s="4" t="s">
        <v>5</v>
      </c>
      <c r="E59" s="4">
        <v>908</v>
      </c>
      <c r="F59">
        <f>$E59+'Станд.норм.распр.'!B59</f>
        <v>907.6201563590148</v>
      </c>
      <c r="G59">
        <f>$E59+'Станд.норм.распр.'!C59</f>
        <v>906.80961240705801</v>
      </c>
      <c r="H59">
        <f>$E59+'Станд.норм.распр.'!D59</f>
        <v>907.90488390722021</v>
      </c>
      <c r="I59">
        <f>$E59+'Станд.норм.распр.'!E59</f>
        <v>907.35849587018311</v>
      </c>
      <c r="J59">
        <f>$E59+'Станд.норм.распр.'!F59</f>
        <v>907.55400198814459</v>
      </c>
      <c r="K59">
        <f>$E59+'Станд.норм.распр.'!G59</f>
        <v>906.46886566956528</v>
      </c>
      <c r="L59">
        <f>$E59+'Станд.норм.распр.'!H59</f>
        <v>910.4091059458442</v>
      </c>
      <c r="M59">
        <f>$E59+'Станд.норм.распр.'!I59</f>
        <v>907.17479271971388</v>
      </c>
      <c r="N59">
        <f>$E59+'Станд.норм.распр.'!J59</f>
        <v>908.64951336753438</v>
      </c>
      <c r="O59">
        <f>$E59+'Станд.норм.распр.'!K59</f>
        <v>907.24513758742251</v>
      </c>
      <c r="P59" s="4" t="s">
        <v>285</v>
      </c>
      <c r="Q59" s="4" t="s">
        <v>5</v>
      </c>
      <c r="R59" s="2">
        <f>$B$3 + $B$4*F59 + ('Станд.норм.распр.'!B60 * $B$5)</f>
        <v>9989.5245771363552</v>
      </c>
      <c r="S59" s="2">
        <f>$B$3 + $B$4*G59 + ('Станд.норм.распр.'!C60 * $B$5)</f>
        <v>9975.5127812527935</v>
      </c>
      <c r="T59" s="2">
        <f>$B$3 + $B$4*H59 + ('Станд.норм.распр.'!D60 * $B$5)</f>
        <v>10014.041933814544</v>
      </c>
      <c r="U59" s="2">
        <f>$B$3 + $B$4*I59 + ('Станд.норм.распр.'!E60 * $B$5)</f>
        <v>9990.6136367877043</v>
      </c>
      <c r="V59" s="2">
        <f>$B$3 + $B$4*J59 + ('Станд.норм.распр.'!F60 * $B$5)</f>
        <v>9990.2525594330218</v>
      </c>
      <c r="W59" s="2">
        <f>$B$3 + $B$4*K59 + ('Станд.норм.распр.'!G60 * $B$5)</f>
        <v>9984.2966378815181</v>
      </c>
      <c r="X59" s="2">
        <f>$B$3 + $B$4*L59 + ('Станд.норм.распр.'!H60 * $B$5)</f>
        <v>10022.700867617037</v>
      </c>
      <c r="Y59" s="2">
        <f>$B$3 + $B$4*M59 + ('Станд.норм.распр.'!I60 * $B$5)</f>
        <v>9982.1092872075969</v>
      </c>
      <c r="Z59" s="2">
        <f>$B$3 + $B$4*N59 + ('Станд.норм.распр.'!J60 * $B$5)</f>
        <v>9997.6111400933878</v>
      </c>
      <c r="AA59" s="2">
        <f>$B$3 + $B$4*O59 + ('Станд.норм.распр.'!K60 * $B$5)</f>
        <v>9984.974136401026</v>
      </c>
    </row>
    <row r="60" spans="3:27" x14ac:dyDescent="0.3">
      <c r="C60" s="4" t="s">
        <v>68</v>
      </c>
      <c r="D60" s="4" t="s">
        <v>5</v>
      </c>
      <c r="E60" s="4">
        <v>152</v>
      </c>
      <c r="F60">
        <f>$E60+'Станд.норм.распр.'!B60</f>
        <v>151.07809524302138</v>
      </c>
      <c r="G60">
        <f>$E60+'Станд.норм.распр.'!C60</f>
        <v>150.51189386390615</v>
      </c>
      <c r="H60">
        <f>$E60+'Станд.норм.распр.'!D60</f>
        <v>153.45424564834684</v>
      </c>
      <c r="I60">
        <f>$E60+'Станд.норм.распр.'!E60</f>
        <v>151.51890913507668</v>
      </c>
      <c r="J60">
        <f>$E60+'Станд.норм.распр.'!F60</f>
        <v>151.23983750704792</v>
      </c>
      <c r="K60">
        <f>$E60+'Станд.норм.распр.'!G60</f>
        <v>151.90434616847779</v>
      </c>
      <c r="L60">
        <f>$E60+'Станд.норм.распр.'!H60</f>
        <v>151.35563357919455</v>
      </c>
      <c r="M60">
        <f>$E60+'Станд.норм.распр.'!I60</f>
        <v>150.79850747674936</v>
      </c>
      <c r="N60">
        <f>$E60+'Станд.норм.распр.'!J60</f>
        <v>150.7184992278344</v>
      </c>
      <c r="O60">
        <f>$E60+'Станд.норм.распр.'!K60</f>
        <v>151.03084699326428</v>
      </c>
      <c r="P60" s="4" t="s">
        <v>286</v>
      </c>
      <c r="Q60" s="4" t="s">
        <v>5</v>
      </c>
      <c r="R60" s="2">
        <f>$B$3 + $B$4*F60 + ('Станд.норм.распр.'!B61 * $B$5)</f>
        <v>1682.0901106987876</v>
      </c>
      <c r="S60" s="2">
        <f>$B$3 + $B$4*G60 + ('Станд.норм.распр.'!C61 * $B$5)</f>
        <v>1667.6877289049444</v>
      </c>
      <c r="T60" s="2">
        <f>$B$3 + $B$4*H60 + ('Станд.норм.распр.'!D61 * $B$5)</f>
        <v>1690.8455376600032</v>
      </c>
      <c r="U60" s="2">
        <f>$B$3 + $B$4*I60 + ('Станд.норм.распр.'!E61 * $B$5)</f>
        <v>1677.383949691226</v>
      </c>
      <c r="V60" s="2">
        <f>$B$3 + $B$4*J60 + ('Станд.норм.распр.'!F61 * $B$5)</f>
        <v>1672.1717526528082</v>
      </c>
      <c r="W60" s="2">
        <f>$B$3 + $B$4*K60 + ('Станд.норм.распр.'!G61 * $B$5)</f>
        <v>1695.6795088211366</v>
      </c>
      <c r="X60" s="2">
        <f>$B$3 + $B$4*L60 + ('Станд.норм.распр.'!H61 * $B$5)</f>
        <v>1686.430205005192</v>
      </c>
      <c r="Y60" s="2">
        <f>$B$3 + $B$4*M60 + ('Станд.норм.распр.'!I61 * $B$5)</f>
        <v>1669.1807554073748</v>
      </c>
      <c r="Z60" s="2">
        <f>$B$3 + $B$4*N60 + ('Станд.норм.распр.'!J61 * $B$5)</f>
        <v>1682.2298284117423</v>
      </c>
      <c r="AA60" s="2">
        <f>$B$3 + $B$4*O60 + ('Станд.норм.распр.'!K61 * $B$5)</f>
        <v>1669.5160357633722</v>
      </c>
    </row>
    <row r="61" spans="3:27" x14ac:dyDescent="0.3">
      <c r="C61" s="4" t="s">
        <v>69</v>
      </c>
      <c r="D61" s="4" t="s">
        <v>5</v>
      </c>
      <c r="E61" s="4">
        <v>593</v>
      </c>
      <c r="F61">
        <f>$E61+'Станд.норм.распр.'!B61</f>
        <v>593.69234033617249</v>
      </c>
      <c r="G61">
        <f>$E61+'Станд.норм.распр.'!C61</f>
        <v>592.78409960021963</v>
      </c>
      <c r="H61">
        <f>$E61+'Станд.норм.распр.'!D61</f>
        <v>591.76098172535421</v>
      </c>
      <c r="I61">
        <f>$E61+'Станд.норм.распр.'!E61</f>
        <v>592.63066102282028</v>
      </c>
      <c r="J61">
        <f>$E61+'Станд.норм.распр.'!F61</f>
        <v>592.39261556392012</v>
      </c>
      <c r="K61">
        <f>$E61+'Станд.норм.распр.'!G61</f>
        <v>594.19241121865343</v>
      </c>
      <c r="L61">
        <f>$E61+'Станд.норм.распр.'!H61</f>
        <v>593.83535951489466</v>
      </c>
      <c r="M61">
        <f>$E61+'Станд.норм.распр.'!I61</f>
        <v>592.59968590701465</v>
      </c>
      <c r="N61">
        <f>$E61+'Станд.норм.распр.'!J61</f>
        <v>594.14737076728488</v>
      </c>
      <c r="O61">
        <f>$E61+'Станд.норм.распр.'!K61</f>
        <v>592.35296875971835</v>
      </c>
      <c r="P61" s="4" t="s">
        <v>287</v>
      </c>
      <c r="Q61" s="4" t="s">
        <v>5</v>
      </c>
      <c r="R61" s="2">
        <f>$B$3 + $B$4*F61 + ('Станд.норм.распр.'!B62 * $B$5)</f>
        <v>6548.8491982448177</v>
      </c>
      <c r="S61" s="2">
        <f>$B$3 + $B$4*G61 + ('Станд.норм.распр.'!C62 * $B$5)</f>
        <v>6521.0200962353265</v>
      </c>
      <c r="T61" s="2">
        <f>$B$3 + $B$4*H61 + ('Станд.норм.распр.'!D62 * $B$5)</f>
        <v>6531.7270816846867</v>
      </c>
      <c r="U61" s="2">
        <f>$B$3 + $B$4*I61 + ('Станд.норм.распр.'!E62 * $B$5)</f>
        <v>6534.0495923662384</v>
      </c>
      <c r="V61" s="2">
        <f>$B$3 + $B$4*J61 + ('Станд.норм.распр.'!F62 * $B$5)</f>
        <v>6537.8285829608358</v>
      </c>
      <c r="W61" s="2">
        <f>$B$3 + $B$4*K61 + ('Станд.норм.распр.'!G62 * $B$5)</f>
        <v>6541.8949118536257</v>
      </c>
      <c r="X61" s="2">
        <f>$B$3 + $B$4*L61 + ('Станд.норм.распр.'!H62 * $B$5)</f>
        <v>6564.9197251984442</v>
      </c>
      <c r="Y61" s="2">
        <f>$B$3 + $B$4*M61 + ('Станд.норм.распр.'!I62 * $B$5)</f>
        <v>6534.3049000345782</v>
      </c>
      <c r="Z61" s="2">
        <f>$B$3 + $B$4*N61 + ('Станд.норм.распр.'!J62 * $B$5)</f>
        <v>6554.2564386957674</v>
      </c>
      <c r="AA61" s="2">
        <f>$B$3 + $B$4*O61 + ('Станд.норм.распр.'!K62 * $B$5)</f>
        <v>6536.9590003476769</v>
      </c>
    </row>
    <row r="62" spans="3:27" x14ac:dyDescent="0.3">
      <c r="C62" s="4" t="s">
        <v>70</v>
      </c>
      <c r="D62" s="4" t="s">
        <v>5</v>
      </c>
      <c r="E62" s="4">
        <v>392</v>
      </c>
      <c r="F62">
        <f>$E62+'Станд.норм.распр.'!B62</f>
        <v>392.4703838385467</v>
      </c>
      <c r="G62">
        <f>$E62+'Станд.норм.распр.'!C62</f>
        <v>390.48833340365672</v>
      </c>
      <c r="H62">
        <f>$E62+'Станд.норм.распр.'!D62</f>
        <v>392.92847585619893</v>
      </c>
      <c r="I62">
        <f>$E62+'Станд.норм.распр.'!E62</f>
        <v>392.12359123502392</v>
      </c>
      <c r="J62">
        <f>$E62+'Станд.норм.распр.'!F62</f>
        <v>392.83442352863494</v>
      </c>
      <c r="K62">
        <f>$E62+'Станд.норм.распр.'!G62</f>
        <v>391.08648760538199</v>
      </c>
      <c r="L62">
        <f>$E62+'Станд.норм.распр.'!H62</f>
        <v>394.08119672606699</v>
      </c>
      <c r="M62">
        <f>$E62+'Станд.норм.распр.'!I62</f>
        <v>392.1898172286019</v>
      </c>
      <c r="N62">
        <f>$E62+'Станд.норм.распр.'!J62</f>
        <v>392.51504002840375</v>
      </c>
      <c r="O62">
        <f>$E62+'Станд.норм.распр.'!K62</f>
        <v>392.78626044341945</v>
      </c>
      <c r="P62" s="4" t="s">
        <v>288</v>
      </c>
      <c r="Q62" s="4" t="s">
        <v>5</v>
      </c>
      <c r="R62" s="2">
        <f>$B$3 + $B$4*F62 + ('Станд.норм.распр.'!B63 * $B$5)</f>
        <v>4346.5189985535981</v>
      </c>
      <c r="S62" s="2">
        <f>$B$3 + $B$4*G62 + ('Станд.норм.распр.'!C63 * $B$5)</f>
        <v>4313.4206628192042</v>
      </c>
      <c r="T62" s="2">
        <f>$B$3 + $B$4*H62 + ('Станд.норм.распр.'!D63 * $B$5)</f>
        <v>4335.116874934989</v>
      </c>
      <c r="U62" s="2">
        <f>$B$3 + $B$4*I62 + ('Станд.норм.распр.'!E63 * $B$5)</f>
        <v>4333.0335875079763</v>
      </c>
      <c r="V62" s="2">
        <f>$B$3 + $B$4*J62 + ('Станд.норм.распр.'!F63 * $B$5)</f>
        <v>4340.5395161730121</v>
      </c>
      <c r="W62" s="2">
        <f>$B$3 + $B$4*K62 + ('Станд.норм.распр.'!G63 * $B$5)</f>
        <v>4325.3514757079538</v>
      </c>
      <c r="X62" s="2">
        <f>$B$3 + $B$4*L62 + ('Станд.норм.распр.'!H63 * $B$5)</f>
        <v>4335.2557093012147</v>
      </c>
      <c r="Y62" s="2">
        <f>$B$3 + $B$4*M62 + ('Станд.норм.распр.'!I63 * $B$5)</f>
        <v>4321.2180007767311</v>
      </c>
      <c r="Z62" s="2">
        <f>$B$3 + $B$4*N62 + ('Станд.норм.распр.'!J63 * $B$5)</f>
        <v>4324.733549091412</v>
      </c>
      <c r="AA62" s="2">
        <f>$B$3 + $B$4*O62 + ('Станд.норм.распр.'!K63 * $B$5)</f>
        <v>4332.6020413669321</v>
      </c>
    </row>
    <row r="63" spans="3:27" x14ac:dyDescent="0.3">
      <c r="C63" s="4" t="s">
        <v>71</v>
      </c>
      <c r="D63" s="4" t="s">
        <v>5</v>
      </c>
      <c r="E63" s="4">
        <v>407</v>
      </c>
      <c r="F63">
        <f>$E63+'Станд.норм.распр.'!B63</f>
        <v>408.7049751477316</v>
      </c>
      <c r="G63">
        <f>$E63+'Станд.норм.распр.'!C63</f>
        <v>407.44988837544224</v>
      </c>
      <c r="H63">
        <f>$E63+'Станд.норм.распр.'!D63</f>
        <v>406.87818227964453</v>
      </c>
      <c r="I63">
        <f>$E63+'Станд.норм.распр.'!E63</f>
        <v>407.63045376919035</v>
      </c>
      <c r="J63">
        <f>$E63+'Станд.норм.распр.'!F63</f>
        <v>407.59565081755864</v>
      </c>
      <c r="K63">
        <f>$E63+'Станд.норм.распр.'!G63</f>
        <v>408.04445689430577</v>
      </c>
      <c r="L63">
        <f>$E63+'Станд.норм.распр.'!H63</f>
        <v>405.4847272571642</v>
      </c>
      <c r="M63">
        <f>$E63+'Станд.норм.распр.'!I63</f>
        <v>406.23666791801224</v>
      </c>
      <c r="N63">
        <f>$E63+'Станд.норм.распр.'!J63</f>
        <v>406.22978986433009</v>
      </c>
      <c r="O63">
        <f>$E63+'Станд.норм.распр.'!K63</f>
        <v>406.77257516547979</v>
      </c>
      <c r="P63" s="4" t="s">
        <v>289</v>
      </c>
      <c r="Q63" s="4" t="s">
        <v>5</v>
      </c>
      <c r="R63" s="2">
        <f>$B$3 + $B$4*F63 + ('Станд.норм.распр.'!B64 * $B$5)</f>
        <v>4507.6951849678298</v>
      </c>
      <c r="S63" s="2">
        <f>$B$3 + $B$4*G63 + ('Станд.норм.распр.'!C64 * $B$5)</f>
        <v>4502.9456763059134</v>
      </c>
      <c r="T63" s="2">
        <f>$B$3 + $B$4*H63 + ('Станд.норм.распр.'!D64 * $B$5)</f>
        <v>4477.9361454329919</v>
      </c>
      <c r="U63" s="2">
        <f>$B$3 + $B$4*I63 + ('Станд.норм.распр.'!E64 * $B$5)</f>
        <v>4491.5667095592798</v>
      </c>
      <c r="V63" s="2">
        <f>$B$3 + $B$4*J63 + ('Станд.норм.распр.'!F64 * $B$5)</f>
        <v>4493.895553734561</v>
      </c>
      <c r="W63" s="2">
        <f>$B$3 + $B$4*K63 + ('Станд.норм.распр.'!G64 * $B$5)</f>
        <v>4514.4086405725975</v>
      </c>
      <c r="X63" s="2">
        <f>$B$3 + $B$4*L63 + ('Станд.норм.распр.'!H64 * $B$5)</f>
        <v>4478.2746252549405</v>
      </c>
      <c r="Y63" s="2">
        <f>$B$3 + $B$4*M63 + ('Станд.норм.распр.'!I64 * $B$5)</f>
        <v>4481.7867152160179</v>
      </c>
      <c r="Z63" s="2">
        <f>$B$3 + $B$4*N63 + ('Станд.норм.распр.'!J64 * $B$5)</f>
        <v>4493.7894793674932</v>
      </c>
      <c r="AA63" s="2">
        <f>$B$3 + $B$4*O63 + ('Станд.норм.распр.'!K64 * $B$5)</f>
        <v>4490.6328574525251</v>
      </c>
    </row>
    <row r="64" spans="3:27" x14ac:dyDescent="0.3">
      <c r="C64" s="4" t="s">
        <v>72</v>
      </c>
      <c r="D64" s="4" t="s">
        <v>5</v>
      </c>
      <c r="E64" s="4">
        <v>211</v>
      </c>
      <c r="F64">
        <f>$E64+'Станд.норм.распр.'!B64</f>
        <v>210.77116203808691</v>
      </c>
      <c r="G64">
        <f>$E64+'Станд.норм.распр.'!C64</f>
        <v>211.77743379733874</v>
      </c>
      <c r="H64">
        <f>$E64+'Станд.норм.распр.'!D64</f>
        <v>209.69734892854467</v>
      </c>
      <c r="I64">
        <f>$E64+'Станд.норм.распр.'!E64</f>
        <v>210.29241312202066</v>
      </c>
      <c r="J64">
        <f>$E64+'Станд.норм.распр.'!F64</f>
        <v>210.593710526824</v>
      </c>
      <c r="K64">
        <f>$E64+'Станд.норм.распр.'!G64</f>
        <v>212.32440163724823</v>
      </c>
      <c r="L64">
        <f>$E64+'Станд.норм.распр.'!H64</f>
        <v>211.4380694917927</v>
      </c>
      <c r="M64">
        <f>$E64+'Станд.норм.распр.'!I64</f>
        <v>210.90926312420925</v>
      </c>
      <c r="N64">
        <f>$E64+'Станд.норм.распр.'!J64</f>
        <v>212.25131009554025</v>
      </c>
      <c r="O64">
        <f>$E64+'Станд.норм.распр.'!K64</f>
        <v>211.2371700702497</v>
      </c>
      <c r="P64" s="4" t="s">
        <v>290</v>
      </c>
      <c r="Q64" s="4" t="s">
        <v>5</v>
      </c>
      <c r="R64" s="2">
        <f>$B$3 + $B$4*F64 + ('Станд.норм.распр.'!B65 * $B$5)</f>
        <v>2330.6642409415508</v>
      </c>
      <c r="S64" s="2">
        <f>$B$3 + $B$4*G64 + ('Станд.норм.распр.'!C65 * $B$5)</f>
        <v>2339.2219539864163</v>
      </c>
      <c r="T64" s="2">
        <f>$B$3 + $B$4*H64 + ('Станд.норм.распр.'!D65 * $B$5)</f>
        <v>2320.8866988233785</v>
      </c>
      <c r="U64" s="2">
        <f>$B$3 + $B$4*I64 + ('Станд.норм.распр.'!E65 * $B$5)</f>
        <v>2341.928707989573</v>
      </c>
      <c r="V64" s="2">
        <f>$B$3 + $B$4*J64 + ('Станд.норм.распр.'!F65 * $B$5)</f>
        <v>2316.8015203345567</v>
      </c>
      <c r="W64" s="2">
        <f>$B$3 + $B$4*K64 + ('Станд.норм.распр.'!G65 * $B$5)</f>
        <v>2355.9402401196712</v>
      </c>
      <c r="X64" s="2">
        <f>$B$3 + $B$4*L64 + ('Станд.норм.распр.'!H65 * $B$5)</f>
        <v>2340.4979113883746</v>
      </c>
      <c r="Y64" s="2">
        <f>$B$3 + $B$4*M64 + ('Станд.норм.распр.'!I65 * $B$5)</f>
        <v>2321.4981248265394</v>
      </c>
      <c r="Z64" s="2">
        <f>$B$3 + $B$4*N64 + ('Станд.норм.распр.'!J65 * $B$5)</f>
        <v>2367.4951815855457</v>
      </c>
      <c r="AA64" s="2">
        <f>$B$3 + $B$4*O64 + ('Станд.норм.распр.'!K65 * $B$5)</f>
        <v>2342.6781827829109</v>
      </c>
    </row>
    <row r="65" spans="3:27" x14ac:dyDescent="0.3">
      <c r="C65" s="4" t="s">
        <v>73</v>
      </c>
      <c r="D65" s="4" t="s">
        <v>5</v>
      </c>
      <c r="E65" s="4">
        <v>942</v>
      </c>
      <c r="F65">
        <f>$E65+'Станд.норм.распр.'!B65</f>
        <v>941.79793983584386</v>
      </c>
      <c r="G65">
        <f>$E65+'Станд.норм.распр.'!C65</f>
        <v>941.51890913507668</v>
      </c>
      <c r="H65">
        <f>$E65+'Станд.норм.распр.'!D65</f>
        <v>942.02398451215413</v>
      </c>
      <c r="I65">
        <f>$E65+'Станд.норм.распр.'!E65</f>
        <v>943.63468484970508</v>
      </c>
      <c r="J65">
        <f>$E65+'Станд.норм.распр.'!F65</f>
        <v>940.4745227266103</v>
      </c>
      <c r="K65">
        <f>$E65+'Станд.норм.распр.'!G65</f>
        <v>942.70798023443785</v>
      </c>
      <c r="L65">
        <f>$E65+'Станд.норм.распр.'!H65</f>
        <v>942.0754607754061</v>
      </c>
      <c r="M65">
        <f>$E65+'Станд.норм.распр.'!I65</f>
        <v>940.61069227335975</v>
      </c>
      <c r="N65">
        <f>$E65+'Станд.норм.распр.'!J65</f>
        <v>944.08119672606699</v>
      </c>
      <c r="O65">
        <f>$E65+'Станд.норм.распр.'!K65</f>
        <v>942.56325689001824</v>
      </c>
      <c r="P65" s="4" t="s">
        <v>291</v>
      </c>
      <c r="Q65" s="4" t="s">
        <v>5</v>
      </c>
      <c r="R65" s="2">
        <f>$B$3 + $B$4*F65 + ('Станд.норм.распр.'!B66 * $B$5)</f>
        <v>10364.650845352822</v>
      </c>
      <c r="S65" s="2">
        <f>$B$3 + $B$4*G65 + ('Станд.норм.распр.'!C66 * $B$5)</f>
        <v>10374.774533196411</v>
      </c>
      <c r="T65" s="2">
        <f>$B$3 + $B$4*H65 + ('Станд.норм.распр.'!D66 * $B$5)</f>
        <v>10389.010707107242</v>
      </c>
      <c r="U65" s="2">
        <f>$B$3 + $B$4*I65 + ('Станд.норм.распр.'!E66 * $B$5)</f>
        <v>10392.256346953014</v>
      </c>
      <c r="V65" s="2">
        <f>$B$3 + $B$4*J65 + ('Станд.норм.распр.'!F66 * $B$5)</f>
        <v>10363.577384990815</v>
      </c>
      <c r="W65" s="2">
        <f>$B$3 + $B$4*K65 + ('Станд.норм.распр.'!G66 * $B$5)</f>
        <v>10390.367481389869</v>
      </c>
      <c r="X65" s="2">
        <f>$B$3 + $B$4*L65 + ('Станд.норм.распр.'!H66 * $B$5)</f>
        <v>10381.713263817597</v>
      </c>
      <c r="Y65" s="2">
        <f>$B$3 + $B$4*M65 + ('Станд.норм.распр.'!I66 * $B$5)</f>
        <v>10342.929071888444</v>
      </c>
      <c r="Z65" s="2">
        <f>$B$3 + $B$4*N65 + ('Станд.норм.распр.'!J66 * $B$5)</f>
        <v>10395.655930145746</v>
      </c>
      <c r="AA65" s="2">
        <f>$B$3 + $B$4*O65 + ('Станд.норм.распр.'!K66 * $B$5)</f>
        <v>10376.880111201695</v>
      </c>
    </row>
    <row r="66" spans="3:27" x14ac:dyDescent="0.3">
      <c r="C66" s="4" t="s">
        <v>74</v>
      </c>
      <c r="D66" s="4" t="s">
        <v>5</v>
      </c>
      <c r="E66" s="4">
        <v>785</v>
      </c>
      <c r="F66">
        <f>$E66+'Станд.норм.распр.'!B66</f>
        <v>783.98594523983775</v>
      </c>
      <c r="G66">
        <f>$E66+'Станд.норм.распр.'!C66</f>
        <v>785.45183696784079</v>
      </c>
      <c r="H66">
        <f>$E66+'Станд.норм.распр.'!D66</f>
        <v>786.41631971928291</v>
      </c>
      <c r="I66">
        <f>$E66+'Станд.норм.распр.'!E66</f>
        <v>784.80831262291758</v>
      </c>
      <c r="J66">
        <f>$E66+'Станд.норм.распр.'!F66</f>
        <v>785.4841816664557</v>
      </c>
      <c r="K66">
        <f>$E66+'Станд.норм.распр.'!G66</f>
        <v>785.73107764567249</v>
      </c>
      <c r="L66">
        <f>$E66+'Станд.норм.распр.'!H66</f>
        <v>785.54257725423668</v>
      </c>
      <c r="M66">
        <f>$E66+'Станд.норм.распр.'!I66</f>
        <v>783.02349520905409</v>
      </c>
      <c r="N66">
        <f>$E66+'Станд.норм.распр.'!J66</f>
        <v>784.64030735100096</v>
      </c>
      <c r="O66">
        <f>$E66+'Станд.норм.распр.'!K66</f>
        <v>784.40936504572164</v>
      </c>
      <c r="P66" s="4" t="s">
        <v>292</v>
      </c>
      <c r="Q66" s="4" t="s">
        <v>5</v>
      </c>
      <c r="R66" s="2">
        <f>$B$3 + $B$4*F66 + ('Станд.норм.распр.'!B67 * $B$5)</f>
        <v>8638.0275137204299</v>
      </c>
      <c r="S66" s="2">
        <f>$B$3 + $B$4*G66 + ('Станд.норм.распр.'!C67 * $B$5)</f>
        <v>8656.6838171025884</v>
      </c>
      <c r="T66" s="2">
        <f>$B$3 + $B$4*H66 + ('Станд.норм.распр.'!D67 * $B$5)</f>
        <v>8655.0850470617879</v>
      </c>
      <c r="U66" s="2">
        <f>$B$3 + $B$4*I66 + ('Станд.норм.распр.'!E67 * $B$5)</f>
        <v>8658.1336664809205</v>
      </c>
      <c r="V66" s="2">
        <f>$B$3 + $B$4*J66 + ('Станд.норм.распр.'!F67 * $B$5)</f>
        <v>8653.4734118495981</v>
      </c>
      <c r="W66" s="2">
        <f>$B$3 + $B$4*K66 + ('Станд.норм.распр.'!G67 * $B$5)</f>
        <v>8647.5209043138311</v>
      </c>
      <c r="X66" s="2">
        <f>$B$3 + $B$4*L66 + ('Станд.норм.распр.'!H67 * $B$5)</f>
        <v>8640.9614856480621</v>
      </c>
      <c r="Y66" s="2">
        <f>$B$3 + $B$4*M66 + ('Станд.норм.распр.'!I67 * $B$5)</f>
        <v>8636.06044834762</v>
      </c>
      <c r="Z66" s="2">
        <f>$B$3 + $B$4*N66 + ('Станд.норм.распр.'!J67 * $B$5)</f>
        <v>8657.4806436007057</v>
      </c>
      <c r="AA66" s="2">
        <f>$B$3 + $B$4*O66 + ('Станд.норм.распр.'!K67 * $B$5)</f>
        <v>8642.7608879463369</v>
      </c>
    </row>
    <row r="67" spans="3:27" x14ac:dyDescent="0.3">
      <c r="C67" s="4" t="s">
        <v>75</v>
      </c>
      <c r="D67" s="4" t="s">
        <v>5</v>
      </c>
      <c r="E67" s="4">
        <v>896</v>
      </c>
      <c r="F67">
        <f>$E67+'Станд.норм.распр.'!B67</f>
        <v>896.02023512024607</v>
      </c>
      <c r="G67">
        <f>$E67+'Станд.норм.распр.'!C67</f>
        <v>896.30151227292663</v>
      </c>
      <c r="H67">
        <f>$E67+'Станд.норм.распр.'!D67</f>
        <v>894.94505890551955</v>
      </c>
      <c r="I67">
        <f>$E67+'Станд.норм.распр.'!E67</f>
        <v>897.24913640320301</v>
      </c>
      <c r="J67">
        <f>$E67+'Станд.норм.распр.'!F67</f>
        <v>895.90526816873171</v>
      </c>
      <c r="K67">
        <f>$E67+'Станд.норм.распр.'!G67</f>
        <v>894.94211669015931</v>
      </c>
      <c r="L67">
        <f>$E67+'Станд.норм.распр.'!H67</f>
        <v>894.44368176127318</v>
      </c>
      <c r="M67">
        <f>$E67+'Станд.норм.распр.'!I67</f>
        <v>896.97800011644722</v>
      </c>
      <c r="N67">
        <f>$E67+'Станд.норм.распр.'!J67</f>
        <v>897.38191808218835</v>
      </c>
      <c r="O67">
        <f>$E67+'Станд.норм.распр.'!K67</f>
        <v>896.02865249371098</v>
      </c>
      <c r="P67" s="4" t="s">
        <v>293</v>
      </c>
      <c r="Q67" s="4" t="s">
        <v>5</v>
      </c>
      <c r="R67" s="2">
        <f>$B$3 + $B$4*F67 + ('Станд.норм.распр.'!B68 * $B$5)</f>
        <v>9874.852441861658</v>
      </c>
      <c r="S67" s="2">
        <f>$B$3 + $B$4*G67 + ('Станд.норм.распр.'!C68 * $B$5)</f>
        <v>9873.6812866710534</v>
      </c>
      <c r="T67" s="2">
        <f>$B$3 + $B$4*H67 + ('Станд.норм.распр.'!D68 * $B$5)</f>
        <v>9854.8263610147114</v>
      </c>
      <c r="U67" s="2">
        <f>$B$3 + $B$4*I67 + ('Станд.норм.распр.'!E68 * $B$5)</f>
        <v>9875.6228441280837</v>
      </c>
      <c r="V67" s="2">
        <f>$B$3 + $B$4*J67 + ('Станд.норм.распр.'!F68 * $B$5)</f>
        <v>9863.8036933144758</v>
      </c>
      <c r="W67" s="2">
        <f>$B$3 + $B$4*K67 + ('Станд.норм.распр.'!G68 * $B$5)</f>
        <v>9860.3564514625032</v>
      </c>
      <c r="X67" s="2">
        <f>$B$3 + $B$4*L67 + ('Станд.норм.распр.'!H68 * $B$5)</f>
        <v>9850.1214596573118</v>
      </c>
      <c r="Y67" s="2">
        <f>$B$3 + $B$4*M67 + ('Станд.норм.распр.'!I68 * $B$5)</f>
        <v>9892.4433688345016</v>
      </c>
      <c r="Z67" s="2">
        <f>$B$3 + $B$4*N67 + ('Станд.норм.распр.'!J68 * $B$5)</f>
        <v>9894.5208093474503</v>
      </c>
      <c r="AA67" s="2">
        <f>$B$3 + $B$4*O67 + ('Станд.норм.распр.'!K68 * $B$5)</f>
        <v>9869.1035770108283</v>
      </c>
    </row>
    <row r="68" spans="3:27" x14ac:dyDescent="0.3">
      <c r="C68" s="4" t="s">
        <v>76</v>
      </c>
      <c r="D68" s="4" t="s">
        <v>5</v>
      </c>
      <c r="E68" s="4">
        <v>920</v>
      </c>
      <c r="F68">
        <f>$E68+'Станд.норм.распр.'!B68</f>
        <v>920.5144283932168</v>
      </c>
      <c r="G68">
        <f>$E68+'Станд.норм.распр.'!C68</f>
        <v>920.04051685209561</v>
      </c>
      <c r="H68">
        <f>$E68+'Станд.норм.распр.'!D68</f>
        <v>919.60341256155516</v>
      </c>
      <c r="I68">
        <f>$E68+'Станд.норм.распр.'!E68</f>
        <v>919.09803818809451</v>
      </c>
      <c r="J68">
        <f>$E68+'Станд.норм.распр.'!F68</f>
        <v>919.42730482871411</v>
      </c>
      <c r="K68">
        <f>$E68+'Станд.норм.распр.'!G68</f>
        <v>920.22146309675009</v>
      </c>
      <c r="L68">
        <f>$E68+'Станд.норм.распр.'!H68</f>
        <v>919.69344003147853</v>
      </c>
      <c r="M68">
        <f>$E68+'Станд.норм.распр.'!I68</f>
        <v>921.29837417262024</v>
      </c>
      <c r="N68">
        <f>$E68+'Станд.норм.распр.'!J68</f>
        <v>921.0355233825976</v>
      </c>
      <c r="O68">
        <f>$E68+'Станд.норм.распр.'!K68</f>
        <v>919.86537773111195</v>
      </c>
      <c r="P68" s="4" t="s">
        <v>294</v>
      </c>
      <c r="Q68" s="4" t="s">
        <v>5</v>
      </c>
      <c r="R68" s="2">
        <f>$B$3 + $B$4*F68 + ('Станд.норм.распр.'!B69 * $B$5)</f>
        <v>10129.111184034613</v>
      </c>
      <c r="S68" s="2">
        <f>$B$3 + $B$4*G68 + ('Станд.норм.распр.'!C69 * $B$5)</f>
        <v>10140.495143907159</v>
      </c>
      <c r="T68" s="2">
        <f>$B$3 + $B$4*H68 + ('Станд.норм.распр.'!D69 * $B$5)</f>
        <v>10139.702308953914</v>
      </c>
      <c r="U68" s="2">
        <f>$B$3 + $B$4*I68 + ('Станд.норм.распр.'!E69 * $B$5)</f>
        <v>10125.369265899266</v>
      </c>
      <c r="V68" s="2">
        <f>$B$3 + $B$4*J68 + ('Станд.норм.распр.'!F69 * $B$5)</f>
        <v>10130.646174622583</v>
      </c>
      <c r="W68" s="2">
        <f>$B$3 + $B$4*K68 + ('Станд.норм.распр.'!G69 * $B$5)</f>
        <v>10141.715772198935</v>
      </c>
      <c r="X68" s="2">
        <f>$B$3 + $B$4*L68 + ('Станд.норм.распр.'!H69 * $B$5)</f>
        <v>10135.30885496219</v>
      </c>
      <c r="Y68" s="2">
        <f>$B$3 + $B$4*M68 + ('Станд.норм.распр.'!I69 * $B$5)</f>
        <v>10147.228054740466</v>
      </c>
      <c r="Z68" s="2">
        <f>$B$3 + $B$4*N68 + ('Станд.норм.распр.'!J69 * $B$5)</f>
        <v>10150.10649860595</v>
      </c>
      <c r="AA68" s="2">
        <f>$B$3 + $B$4*O68 + ('Станд.норм.распр.'!K69 * $B$5)</f>
        <v>10151.698979490888</v>
      </c>
    </row>
    <row r="69" spans="3:27" x14ac:dyDescent="0.3">
      <c r="C69" s="4" t="s">
        <v>77</v>
      </c>
      <c r="D69" s="4" t="s">
        <v>5</v>
      </c>
      <c r="E69" s="4">
        <v>147</v>
      </c>
      <c r="F69">
        <f>$E69+'Станд.норм.распр.'!B69</f>
        <v>145.82805241213646</v>
      </c>
      <c r="G69">
        <f>$E69+'Станд.норм.распр.'!C69</f>
        <v>147.67216205934528</v>
      </c>
      <c r="H69">
        <f>$E69+'Станд.норм.распр.'!D69</f>
        <v>148.11830786408973</v>
      </c>
      <c r="I69">
        <f>$E69+'Станд.норм.распр.'!E69</f>
        <v>147.14342731446959</v>
      </c>
      <c r="J69">
        <f>$E69+'Станд.норм.распр.'!F69</f>
        <v>147.32731350074755</v>
      </c>
      <c r="K69">
        <f>$E69+'Станд.норм.распр.'!G69</f>
        <v>147.5866309038538</v>
      </c>
      <c r="L69">
        <f>$E69+'Станд.норм.распр.'!H69</f>
        <v>147.52011273510288</v>
      </c>
      <c r="M69">
        <f>$E69+'Станд.норм.распр.'!I69</f>
        <v>146.88288209351595</v>
      </c>
      <c r="N69">
        <f>$E69+'Станд.норм.распр.'!J69</f>
        <v>147.52397126637516</v>
      </c>
      <c r="O69">
        <f>$E69+'Станд.норм.распр.'!K69</f>
        <v>149.13109160540625</v>
      </c>
      <c r="P69" s="4" t="s">
        <v>295</v>
      </c>
      <c r="Q69" s="4" t="s">
        <v>5</v>
      </c>
      <c r="R69" s="2">
        <f>$B$3 + $B$4*F69 + ('Станд.норм.распр.'!B70 * $B$5)</f>
        <v>1610.2097992212803</v>
      </c>
      <c r="S69" s="2">
        <f>$B$3 + $B$4*G69 + ('Станд.норм.распр.'!C70 * $B$5)</f>
        <v>1636.6124645197997</v>
      </c>
      <c r="T69" s="2">
        <f>$B$3 + $B$4*H69 + ('Станд.норм.распр.'!D70 * $B$5)</f>
        <v>1636.1459915084706</v>
      </c>
      <c r="U69" s="2">
        <f>$B$3 + $B$4*I69 + ('Станд.норм.распр.'!E70 * $B$5)</f>
        <v>1624.6119252197386</v>
      </c>
      <c r="V69" s="2">
        <f>$B$3 + $B$4*J69 + ('Станд.норм.распр.'!F70 * $B$5)</f>
        <v>1634.8659027268295</v>
      </c>
      <c r="W69" s="2">
        <f>$B$3 + $B$4*K69 + ('Станд.норм.распр.'!G70 * $B$5)</f>
        <v>1619.9330433688883</v>
      </c>
      <c r="X69" s="2">
        <f>$B$3 + $B$4*L69 + ('Станд.норм.распр.'!H70 * $B$5)</f>
        <v>1627.354320046521</v>
      </c>
      <c r="Y69" s="2">
        <f>$B$3 + $B$4*M69 + ('Станд.норм.распр.'!I70 * $B$5)</f>
        <v>1624.1979823486472</v>
      </c>
      <c r="Z69" s="2">
        <f>$B$3 + $B$4*N69 + ('Станд.норм.распр.'!J70 * $B$5)</f>
        <v>1632.3688122635358</v>
      </c>
      <c r="AA69" s="2">
        <f>$B$3 + $B$4*O69 + ('Станд.норм.распр.'!K70 * $B$5)</f>
        <v>1651.1550707515562</v>
      </c>
    </row>
    <row r="70" spans="3:27" x14ac:dyDescent="0.3">
      <c r="C70" s="4" t="s">
        <v>78</v>
      </c>
      <c r="D70" s="4" t="s">
        <v>5</v>
      </c>
      <c r="E70" s="4">
        <v>712</v>
      </c>
      <c r="F70">
        <f>$E70+'Станд.норм.распр.'!B70</f>
        <v>711.12235807641991</v>
      </c>
      <c r="G70">
        <f>$E70+'Станд.норм.распр.'!C70</f>
        <v>711.80207576300018</v>
      </c>
      <c r="H70">
        <f>$E70+'Станд.норм.распр.'!D70</f>
        <v>711.20495611149818</v>
      </c>
      <c r="I70">
        <f>$E70+'Станд.норм.распр.'!E70</f>
        <v>711.1149138622859</v>
      </c>
      <c r="J70">
        <f>$E70+'Станд.норм.распр.'!F70</f>
        <v>712.0294949131785</v>
      </c>
      <c r="K70">
        <f>$E70+'Станд.норм.распр.'!G70</f>
        <v>710.05334482516628</v>
      </c>
      <c r="L70">
        <f>$E70+'Станд.норм.распр.'!H70</f>
        <v>710.95923110670992</v>
      </c>
      <c r="M70">
        <f>$E70+'Станд.норм.распр.'!I70</f>
        <v>711.38736436888576</v>
      </c>
      <c r="N70">
        <f>$E70+'Станд.норм.распр.'!J70</f>
        <v>711.51168092593434</v>
      </c>
      <c r="O70">
        <f>$E70+'Станд.норм.распр.'!K70</f>
        <v>711.63478478800971</v>
      </c>
      <c r="P70" s="4" t="s">
        <v>296</v>
      </c>
      <c r="Q70" s="4" t="s">
        <v>5</v>
      </c>
      <c r="R70" s="2">
        <f>$B$3 + $B$4*F70 + ('Станд.норм.распр.'!B71 * $B$5)</f>
        <v>7845.9408779785736</v>
      </c>
      <c r="S70" s="2">
        <f>$B$3 + $B$4*G70 + ('Станд.норм.распр.'!C71 * $B$5)</f>
        <v>7840.1168289296911</v>
      </c>
      <c r="T70" s="2">
        <f>$B$3 + $B$4*H70 + ('Станд.норм.распр.'!D71 * $B$5)</f>
        <v>7825.6644488014863</v>
      </c>
      <c r="U70" s="2">
        <f>$B$3 + $B$4*I70 + ('Станд.норм.распр.'!E71 * $B$5)</f>
        <v>7825.3349593346647</v>
      </c>
      <c r="V70" s="2">
        <f>$B$3 + $B$4*J70 + ('Станд.норм.распр.'!F71 * $B$5)</f>
        <v>7848.0854008653259</v>
      </c>
      <c r="W70" s="2">
        <f>$B$3 + $B$4*K70 + ('Станд.норм.распр.'!G71 * $B$5)</f>
        <v>7817.8724097874656</v>
      </c>
      <c r="X70" s="2">
        <f>$B$3 + $B$4*L70 + ('Станд.норм.распр.'!H71 * $B$5)</f>
        <v>7831.1026018404809</v>
      </c>
      <c r="Y70" s="2">
        <f>$B$3 + $B$4*M70 + ('Станд.норм.распр.'!I71 * $B$5)</f>
        <v>7845.311326064344</v>
      </c>
      <c r="Z70" s="2">
        <f>$B$3 + $B$4*N70 + ('Станд.норм.распр.'!J71 * $B$5)</f>
        <v>7831.1759503144422</v>
      </c>
      <c r="AA70" s="2">
        <f>$B$3 + $B$4*O70 + ('Станд.норм.распр.'!K71 * $B$5)</f>
        <v>7854.5099353832775</v>
      </c>
    </row>
    <row r="71" spans="3:27" x14ac:dyDescent="0.3">
      <c r="C71" s="4" t="s">
        <v>79</v>
      </c>
      <c r="D71" s="4" t="s">
        <v>5</v>
      </c>
      <c r="E71" s="4">
        <v>418</v>
      </c>
      <c r="F71">
        <f>$E71+'Станд.норм.распр.'!B71</f>
        <v>419.06610434866161</v>
      </c>
      <c r="G71">
        <f>$E71+'Станд.норм.распр.'!C71</f>
        <v>417.5882217262988</v>
      </c>
      <c r="H71">
        <f>$E71+'Станд.норм.распр.'!D71</f>
        <v>416.71221461944515</v>
      </c>
      <c r="I71">
        <f>$E71+'Станд.норм.распр.'!E71</f>
        <v>416.78565631661331</v>
      </c>
      <c r="J71">
        <f>$E71+'Станд.норм.распр.'!F71</f>
        <v>418.19566186892916</v>
      </c>
      <c r="K71">
        <f>$E71+'Станд.норм.распр.'!G71</f>
        <v>417.25395741229295</v>
      </c>
      <c r="L71">
        <f>$E71+'Станд.норм.распр.'!H71</f>
        <v>417.61678440740798</v>
      </c>
      <c r="M71">
        <f>$E71+'Станд.норм.распр.'!I71</f>
        <v>418.67225755628897</v>
      </c>
      <c r="N71">
        <f>$E71+'Станд.норм.распр.'!J71</f>
        <v>416.94971779212938</v>
      </c>
      <c r="O71">
        <f>$E71+'Станд.норм.распр.'!K71</f>
        <v>419.39192252390785</v>
      </c>
      <c r="P71" s="4" t="s">
        <v>297</v>
      </c>
      <c r="Q71" s="4" t="s">
        <v>5</v>
      </c>
      <c r="R71" s="2">
        <f>$B$3 + $B$4*F71 + ('Станд.норм.распр.'!B72 * $B$5)</f>
        <v>4627.7875721520541</v>
      </c>
      <c r="S71" s="2">
        <f>$B$3 + $B$4*G71 + ('Станд.норм.распр.'!C72 * $B$5)</f>
        <v>4597.17330368486</v>
      </c>
      <c r="T71" s="2">
        <f>$B$3 + $B$4*H71 + ('Станд.норм.распр.'!D72 * $B$5)</f>
        <v>4590.4750252729282</v>
      </c>
      <c r="U71" s="2">
        <f>$B$3 + $B$4*I71 + ('Станд.норм.распр.'!E72 * $B$5)</f>
        <v>4590.1332167003711</v>
      </c>
      <c r="V71" s="2">
        <f>$B$3 + $B$4*J71 + ('Станд.норм.распр.'!F72 * $B$5)</f>
        <v>4609.9672224981186</v>
      </c>
      <c r="W71" s="2">
        <f>$B$3 + $B$4*K71 + ('Станд.норм.распр.'!G72 * $B$5)</f>
        <v>4591.0896686135966</v>
      </c>
      <c r="X71" s="2">
        <f>$B$3 + $B$4*L71 + ('Станд.норм.распр.'!H72 * $B$5)</f>
        <v>4602.0178545431118</v>
      </c>
      <c r="Y71" s="2">
        <f>$B$3 + $B$4*M71 + ('Станд.норм.распр.'!I72 * $B$5)</f>
        <v>4601.5328664933913</v>
      </c>
      <c r="Z71" s="2">
        <f>$B$3 + $B$4*N71 + ('Станд.норм.распр.'!J72 * $B$5)</f>
        <v>4603.7142622507527</v>
      </c>
      <c r="AA71" s="2">
        <f>$B$3 + $B$4*O71 + ('Станд.норм.распр.'!K72 * $B$5)</f>
        <v>4631.03289899019</v>
      </c>
    </row>
    <row r="72" spans="3:27" x14ac:dyDescent="0.3">
      <c r="C72" s="4" t="s">
        <v>80</v>
      </c>
      <c r="D72" s="4" t="s">
        <v>5</v>
      </c>
      <c r="E72" s="4">
        <v>876</v>
      </c>
      <c r="F72">
        <f>$E72+'Станд.норм.распр.'!B72</f>
        <v>876.45115825741959</v>
      </c>
      <c r="G72">
        <f>$E72+'Станд.норм.распр.'!C72</f>
        <v>874.85587385506369</v>
      </c>
      <c r="H72">
        <f>$E72+'Станд.норм.распр.'!D72</f>
        <v>875.1822960510035</v>
      </c>
      <c r="I72">
        <f>$E72+'Станд.норм.распр.'!E72</f>
        <v>875.05455524640274</v>
      </c>
      <c r="J72">
        <f>$E72+'Станд.норм.распр.'!F72</f>
        <v>875.53499354887754</v>
      </c>
      <c r="K72">
        <f>$E72+'Станд.норм.распр.'!G72</f>
        <v>874.58845967537491</v>
      </c>
      <c r="L72">
        <f>$E72+'Станд.норм.распр.'!H72</f>
        <v>875.35924734018045</v>
      </c>
      <c r="M72">
        <f>$E72+'Станд.норм.распр.'!I72</f>
        <v>874.01533704157919</v>
      </c>
      <c r="N72">
        <f>$E72+'Станд.норм.распр.'!J72</f>
        <v>876.36304072636995</v>
      </c>
      <c r="O72">
        <f>$E72+'Станд.норм.распр.'!K72</f>
        <v>876.41352791413374</v>
      </c>
      <c r="P72" s="4" t="s">
        <v>298</v>
      </c>
      <c r="Q72" s="4" t="s">
        <v>5</v>
      </c>
      <c r="R72" s="2">
        <f>$B$3 + $B$4*F72 + ('Станд.норм.распр.'!B73 * $B$5)</f>
        <v>9665.9932721999212</v>
      </c>
      <c r="S72" s="2">
        <f>$B$3 + $B$4*G72 + ('Станд.норм.распр.'!C73 * $B$5)</f>
        <v>9639.5625978751923</v>
      </c>
      <c r="T72" s="2">
        <f>$B$3 + $B$4*H72 + ('Станд.норм.распр.'!D73 * $B$5)</f>
        <v>9641.1983923084335</v>
      </c>
      <c r="U72" s="2">
        <f>$B$3 + $B$4*I72 + ('Станд.норм.распр.'!E73 * $B$5)</f>
        <v>9629.8952512719552</v>
      </c>
      <c r="V72" s="2">
        <f>$B$3 + $B$4*J72 + ('Станд.норм.распр.'!F73 * $B$5)</f>
        <v>9644.8921526993217</v>
      </c>
      <c r="W72" s="2">
        <f>$B$3 + $B$4*K72 + ('Станд.норм.распр.'!G73 * $B$5)</f>
        <v>9628.1409746901772</v>
      </c>
      <c r="X72" s="2">
        <f>$B$3 + $B$4*L72 + ('Станд.норм.распр.'!H73 * $B$5)</f>
        <v>9658.5716101239086</v>
      </c>
      <c r="Y72" s="2">
        <f>$B$3 + $B$4*M72 + ('Станд.норм.распр.'!I73 * $B$5)</f>
        <v>9614.619573802338</v>
      </c>
      <c r="Z72" s="2">
        <f>$B$3 + $B$4*N72 + ('Станд.норм.распр.'!J73 * $B$5)</f>
        <v>9656.733016562066</v>
      </c>
      <c r="AA72" s="2">
        <f>$B$3 + $B$4*O72 + ('Станд.норм.распр.'!K73 * $B$5)</f>
        <v>9648.3579243689746</v>
      </c>
    </row>
    <row r="73" spans="3:27" x14ac:dyDescent="0.3">
      <c r="C73" s="4" t="s">
        <v>81</v>
      </c>
      <c r="D73" s="4" t="s">
        <v>5</v>
      </c>
      <c r="E73" s="4">
        <v>757</v>
      </c>
      <c r="F73">
        <f>$E73+'Станд.норм.распр.'!B73</f>
        <v>758.22561459647841</v>
      </c>
      <c r="G73">
        <f>$E73+'Станд.норм.распр.'!C73</f>
        <v>757.23866505216574</v>
      </c>
      <c r="H73">
        <f>$E73+'Станд.норм.распр.'!D73</f>
        <v>757.02145952748833</v>
      </c>
      <c r="I73">
        <f>$E73+'Станд.норм.распр.'!E73</f>
        <v>755.92168261794723</v>
      </c>
      <c r="J73">
        <f>$E73+'Станд.норм.распр.'!F73</f>
        <v>757.00080262907431</v>
      </c>
      <c r="K73">
        <f>$E73+'Станд.норм.распр.'!G73</f>
        <v>756.29643536233925</v>
      </c>
      <c r="L73">
        <f>$E73+'Станд.норм.распр.'!H73</f>
        <v>758.73554326465819</v>
      </c>
      <c r="M73">
        <f>$E73+'Станд.норм.распр.'!I73</f>
        <v>755.49454070499633</v>
      </c>
      <c r="N73">
        <f>$E73+'Станд.норм.распр.'!J73</f>
        <v>757.30439650799963</v>
      </c>
      <c r="O73">
        <f>$E73+'Станд.норм.распр.'!K73</f>
        <v>756.31212414594484</v>
      </c>
      <c r="P73" s="4" t="s">
        <v>299</v>
      </c>
      <c r="Q73" s="4" t="s">
        <v>5</v>
      </c>
      <c r="R73" s="2">
        <f>$B$3 + $B$4*F73 + ('Станд.норм.распр.'!B74 * $B$5)</f>
        <v>8351.7522907910607</v>
      </c>
      <c r="S73" s="2">
        <f>$B$3 + $B$4*G73 + ('Станд.норм.распр.'!C74 * $B$5)</f>
        <v>8353.1077937365044</v>
      </c>
      <c r="T73" s="2">
        <f>$B$3 + $B$4*H73 + ('Станд.норм.распр.'!D74 * $B$5)</f>
        <v>8340.5348071024637</v>
      </c>
      <c r="U73" s="2">
        <f>$B$3 + $B$4*I73 + ('Станд.норм.распр.'!E74 * $B$5)</f>
        <v>8325.7620608761645</v>
      </c>
      <c r="V73" s="2">
        <f>$B$3 + $B$4*J73 + ('Станд.норм.распр.'!F74 * $B$5)</f>
        <v>8341.8607298696006</v>
      </c>
      <c r="W73" s="2">
        <f>$B$3 + $B$4*K73 + ('Станд.норм.распр.'!G74 * $B$5)</f>
        <v>8342.4647571333626</v>
      </c>
      <c r="X73" s="2">
        <f>$B$3 + $B$4*L73 + ('Станд.норм.распр.'!H74 * $B$5)</f>
        <v>8351.0947750070191</v>
      </c>
      <c r="Y73" s="2">
        <f>$B$3 + $B$4*M73 + ('Станд.норм.распр.'!I74 * $B$5)</f>
        <v>8333.3054883765872</v>
      </c>
      <c r="Z73" s="2">
        <f>$B$3 + $B$4*N73 + ('Станд.норм.распр.'!J74 * $B$5)</f>
        <v>8342.8624257336342</v>
      </c>
      <c r="AA73" s="2">
        <f>$B$3 + $B$4*O73 + ('Станд.норм.распр.'!K74 * $B$5)</f>
        <v>8350.5583141046518</v>
      </c>
    </row>
    <row r="74" spans="3:27" x14ac:dyDescent="0.3">
      <c r="C74" s="4" t="s">
        <v>82</v>
      </c>
      <c r="D74" s="4" t="s">
        <v>5</v>
      </c>
      <c r="E74" s="4">
        <v>670</v>
      </c>
      <c r="F74">
        <f>$E74+'Станд.норм.распр.'!B74</f>
        <v>669.69672558108869</v>
      </c>
      <c r="G74">
        <f>$E74+'Станд.норм.распр.'!C74</f>
        <v>671.05360868474236</v>
      </c>
      <c r="H74">
        <f>$E74+'Станд.норм.распр.'!D74</f>
        <v>669.92208358889911</v>
      </c>
      <c r="I74">
        <f>$E74+'Станд.норм.распр.'!E74</f>
        <v>669.62483911986055</v>
      </c>
      <c r="J74">
        <f>$E74+'Станд.норм.распр.'!F74</f>
        <v>670.09465566108702</v>
      </c>
      <c r="K74">
        <f>$E74+'Станд.норм.распр.'!G74</f>
        <v>671.02266312751453</v>
      </c>
      <c r="L74">
        <f>$E74+'Станд.норм.распр.'!H74</f>
        <v>669.00042212175322</v>
      </c>
      <c r="M74">
        <f>$E74+'Станд.норм.распр.'!I74</f>
        <v>670.98506006906973</v>
      </c>
      <c r="N74">
        <f>$E74+'Станд.норм.распр.'!J74</f>
        <v>669.83489601618203</v>
      </c>
      <c r="O74">
        <f>$E74+'Станд.норм.распр.'!K74</f>
        <v>671.90277205547318</v>
      </c>
      <c r="P74" s="4" t="s">
        <v>300</v>
      </c>
      <c r="Q74" s="4" t="s">
        <v>5</v>
      </c>
      <c r="R74" s="2">
        <f>$B$3 + $B$4*F74 + ('Станд.норм.распр.'!B75 * $B$5)</f>
        <v>7384.0973693659034</v>
      </c>
      <c r="S74" s="2">
        <f>$B$3 + $B$4*G74 + ('Станд.норм.распр.'!C75 * $B$5)</f>
        <v>7386.5559643290762</v>
      </c>
      <c r="T74" s="2">
        <f>$B$3 + $B$4*H74 + ('Станд.норм.распр.'!D75 * $B$5)</f>
        <v>7377.5074197310314</v>
      </c>
      <c r="U74" s="2">
        <f>$B$3 + $B$4*I74 + ('Станд.норм.распр.'!E75 * $B$5)</f>
        <v>7371.4157549584197</v>
      </c>
      <c r="V74" s="2">
        <f>$B$3 + $B$4*J74 + ('Станд.норм.распр.'!F75 * $B$5)</f>
        <v>7392.1918801697611</v>
      </c>
      <c r="W74" s="2">
        <f>$B$3 + $B$4*K74 + ('Станд.норм.распр.'!G75 * $B$5)</f>
        <v>7396.1904474781331</v>
      </c>
      <c r="X74" s="2">
        <f>$B$3 + $B$4*L74 + ('Станд.норм.распр.'!H75 * $B$5)</f>
        <v>7371.756904147318</v>
      </c>
      <c r="Y74" s="2">
        <f>$B$3 + $B$4*M74 + ('Станд.норм.распр.'!I75 * $B$5)</f>
        <v>7403.7460371964553</v>
      </c>
      <c r="Z74" s="2">
        <f>$B$3 + $B$4*N74 + ('Станд.норм.распр.'!J75 * $B$5)</f>
        <v>7390.9758709742018</v>
      </c>
      <c r="AA74" s="2">
        <f>$B$3 + $B$4*O74 + ('Станд.норм.распр.'!K75 * $B$5)</f>
        <v>7401.9024206317845</v>
      </c>
    </row>
    <row r="75" spans="3:27" x14ac:dyDescent="0.3">
      <c r="C75" s="4" t="s">
        <v>83</v>
      </c>
      <c r="D75" s="4" t="s">
        <v>5</v>
      </c>
      <c r="E75" s="4">
        <v>823</v>
      </c>
      <c r="F75">
        <f>$E75+'Станд.норм.распр.'!B75</f>
        <v>823.38148755265865</v>
      </c>
      <c r="G75">
        <f>$E75+'Станд.норм.распр.'!C75</f>
        <v>821.99625208854559</v>
      </c>
      <c r="H75">
        <f>$E75+'Станд.норм.распр.'!D75</f>
        <v>822.37383336146013</v>
      </c>
      <c r="I75">
        <f>$E75+'Станд.норм.распр.'!E75</f>
        <v>822.0602805155504</v>
      </c>
      <c r="J75">
        <f>$E75+'Станд.норм.распр.'!F75</f>
        <v>823.79451865531155</v>
      </c>
      <c r="K75">
        <f>$E75+'Станд.норм.распр.'!G75</f>
        <v>823.10457256394147</v>
      </c>
      <c r="L75">
        <f>$E75+'Станд.норм.распр.'!H75</f>
        <v>822.86136231200362</v>
      </c>
      <c r="M75">
        <f>$E75+'Станд.норм.распр.'!I75</f>
        <v>823.99004182629869</v>
      </c>
      <c r="N75">
        <f>$E75+'Станд.норм.распр.'!J75</f>
        <v>823.97689053291106</v>
      </c>
      <c r="O75">
        <f>$E75+'Станд.норм.распр.'!K75</f>
        <v>822.66354755795328</v>
      </c>
      <c r="P75" s="4" t="s">
        <v>301</v>
      </c>
      <c r="Q75" s="4" t="s">
        <v>5</v>
      </c>
      <c r="R75" s="2">
        <f>$B$3 + $B$4*F75 + ('Станд.норм.распр.'!B76 * $B$5)</f>
        <v>9074.8014306836849</v>
      </c>
      <c r="S75" s="2">
        <f>$B$3 + $B$4*G75 + ('Станд.норм.распр.'!C76 * $B$5)</f>
        <v>9050.6356914784119</v>
      </c>
      <c r="T75" s="2">
        <f>$B$3 + $B$4*H75 + ('Станд.норм.распр.'!D76 * $B$5)</f>
        <v>9060.5050686872273</v>
      </c>
      <c r="U75" s="2">
        <f>$B$3 + $B$4*I75 + ('Станд.норм.распр.'!E76 * $B$5)</f>
        <v>9054.21062183904</v>
      </c>
      <c r="V75" s="2">
        <f>$B$3 + $B$4*J75 + ('Станд.норм.распр.'!F76 * $B$5)</f>
        <v>9067.9975974535337</v>
      </c>
      <c r="W75" s="2">
        <f>$B$3 + $B$4*K75 + ('Станд.норм.распр.'!G76 * $B$5)</f>
        <v>9054.1133115902921</v>
      </c>
      <c r="X75" s="2">
        <f>$B$3 + $B$4*L75 + ('Станд.норм.распр.'!H76 * $B$5)</f>
        <v>9055.1592691508558</v>
      </c>
      <c r="Y75" s="2">
        <f>$B$3 + $B$4*M75 + ('Станд.норм.распр.'!I76 * $B$5)</f>
        <v>9074.366561476374</v>
      </c>
      <c r="Z75" s="2">
        <f>$B$3 + $B$4*N75 + ('Станд.норм.распр.'!J76 * $B$5)</f>
        <v>9073.5538210947125</v>
      </c>
      <c r="AA75" s="2">
        <f>$B$3 + $B$4*O75 + ('Станд.норм.распр.'!K76 * $B$5)</f>
        <v>9061.6675939604756</v>
      </c>
    </row>
    <row r="76" spans="3:27" x14ac:dyDescent="0.3">
      <c r="C76" s="4" t="s">
        <v>84</v>
      </c>
      <c r="D76" s="4" t="s">
        <v>5</v>
      </c>
      <c r="E76" s="4">
        <v>634</v>
      </c>
      <c r="F76">
        <f>$E76+'Станд.норм.распр.'!B76</f>
        <v>634.40056306715996</v>
      </c>
      <c r="G76">
        <f>$E76+'Станд.норм.распр.'!C76</f>
        <v>633.40854650049005</v>
      </c>
      <c r="H76">
        <f>$E76+'Станд.норм.распр.'!D76</f>
        <v>634.0436557456851</v>
      </c>
      <c r="I76">
        <f>$E76+'Станд.норм.распр.'!E76</f>
        <v>633.72750401866506</v>
      </c>
      <c r="J76">
        <f>$E76+'Станд.норм.распр.'!F76</f>
        <v>633.13976580501185</v>
      </c>
      <c r="K76">
        <f>$E76+'Станд.норм.распр.'!G76</f>
        <v>632.44033482077066</v>
      </c>
      <c r="L76">
        <f>$E76+'Станд.норм.распр.'!H76</f>
        <v>632.85380930209067</v>
      </c>
      <c r="M76">
        <f>$E76+'Станд.норм.распр.'!I76</f>
        <v>633.60845570967649</v>
      </c>
      <c r="N76">
        <f>$E76+'Станд.норм.распр.'!J76</f>
        <v>633.53422502585454</v>
      </c>
      <c r="O76">
        <f>$E76+'Станд.норм.распр.'!K76</f>
        <v>633.81873009144329</v>
      </c>
      <c r="P76" s="4" t="s">
        <v>302</v>
      </c>
      <c r="Q76" s="4" t="s">
        <v>5</v>
      </c>
      <c r="R76" s="2">
        <f>$B$3 + $B$4*F76 + ('Станд.норм.распр.'!B77 * $B$5)</f>
        <v>6994.8158067279001</v>
      </c>
      <c r="S76" s="2">
        <f>$B$3 + $B$4*G76 + ('Станд.норм.распр.'!C77 * $B$5)</f>
        <v>6981.2740172425838</v>
      </c>
      <c r="T76" s="2">
        <f>$B$3 + $B$4*H76 + ('Станд.норм.распр.'!D77 * $B$5)</f>
        <v>6975.0348577587865</v>
      </c>
      <c r="U76" s="2">
        <f>$B$3 + $B$4*I76 + ('Станд.норм.распр.'!E77 * $B$5)</f>
        <v>6967.4366453897965</v>
      </c>
      <c r="V76" s="2">
        <f>$B$3 + $B$4*J76 + ('Станд.норм.распр.'!F77 * $B$5)</f>
        <v>6973.6110912332952</v>
      </c>
      <c r="W76" s="2">
        <f>$B$3 + $B$4*K76 + ('Станд.норм.распр.'!G77 * $B$5)</f>
        <v>6977.7441216489824</v>
      </c>
      <c r="X76" s="2">
        <f>$B$3 + $B$4*L76 + ('Станд.норм.распр.'!H77 * $B$5)</f>
        <v>6972.3733530724421</v>
      </c>
      <c r="Y76" s="2">
        <f>$B$3 + $B$4*M76 + ('Станд.норм.распр.'!I77 * $B$5)</f>
        <v>6981.4698644210584</v>
      </c>
      <c r="Z76" s="2">
        <f>$B$3 + $B$4*N76 + ('Станд.норм.распр.'!J77 * $B$5)</f>
        <v>6985.6550066094205</v>
      </c>
      <c r="AA76" s="2">
        <f>$B$3 + $B$4*O76 + ('Станд.норм.распр.'!K77 * $B$5)</f>
        <v>6987.1919291055965</v>
      </c>
    </row>
    <row r="77" spans="3:27" x14ac:dyDescent="0.3">
      <c r="C77" s="4" t="s">
        <v>85</v>
      </c>
      <c r="D77" s="4" t="s">
        <v>5</v>
      </c>
      <c r="E77" s="4">
        <v>407</v>
      </c>
      <c r="F77">
        <f>$E77+'Станд.норм.распр.'!B77</f>
        <v>407.26773477657116</v>
      </c>
      <c r="G77">
        <f>$E77+'Станд.норм.распр.'!C77</f>
        <v>406.97555619302148</v>
      </c>
      <c r="H77">
        <f>$E77+'Станд.норм.распр.'!D77</f>
        <v>405.50607161736116</v>
      </c>
      <c r="I77">
        <f>$E77+'Станд.норм.распр.'!E77</f>
        <v>405.04823346494231</v>
      </c>
      <c r="J77">
        <f>$E77+'Станд.норм.распр.'!F77</f>
        <v>406.45262970868498</v>
      </c>
      <c r="K77">
        <f>$E77+'Станд.норм.распр.'!G77</f>
        <v>407.76671540227835</v>
      </c>
      <c r="L77">
        <f>$E77+'Станд.норм.распр.'!H77</f>
        <v>406.6646056388272</v>
      </c>
      <c r="M77">
        <f>$E77+'Станд.норм.распр.'!I77</f>
        <v>406.75298351273523</v>
      </c>
      <c r="N77">
        <f>$E77+'Станд.норм.распр.'!J77</f>
        <v>407.30872570278007</v>
      </c>
      <c r="O77">
        <f>$E77+'Станд.норм.распр.'!K77</f>
        <v>407.13176645552448</v>
      </c>
      <c r="P77" s="4" t="s">
        <v>303</v>
      </c>
      <c r="Q77" s="4" t="s">
        <v>5</v>
      </c>
      <c r="R77" s="2">
        <f>$B$3 + $B$4*F77 + ('Станд.норм.распр.'!B78 * $B$5)</f>
        <v>4484.0936451164598</v>
      </c>
      <c r="S77" s="2">
        <f>$B$3 + $B$4*G77 + ('Станд.норм.распр.'!C78 * $B$5)</f>
        <v>4494.1127331112657</v>
      </c>
      <c r="T77" s="2">
        <f>$B$3 + $B$4*H77 + ('Станд.норм.распр.'!D78 * $B$5)</f>
        <v>4471.4021691438393</v>
      </c>
      <c r="U77" s="2">
        <f>$B$3 + $B$4*I77 + ('Станд.норм.распр.'!E78 * $B$5)</f>
        <v>4476.504205142206</v>
      </c>
      <c r="V77" s="2">
        <f>$B$3 + $B$4*J77 + ('Станд.норм.распр.'!F78 * $B$5)</f>
        <v>4476.5364308132266</v>
      </c>
      <c r="W77" s="2">
        <f>$B$3 + $B$4*K77 + ('Станд.норм.распр.'!G78 * $B$5)</f>
        <v>4485.8718846098927</v>
      </c>
      <c r="X77" s="2">
        <f>$B$3 + $B$4*L77 + ('Станд.норм.распр.'!H78 * $B$5)</f>
        <v>4497.9321796672593</v>
      </c>
      <c r="Y77" s="2">
        <f>$B$3 + $B$4*M77 + ('Станд.норм.распр.'!I78 * $B$5)</f>
        <v>4491.4840876499657</v>
      </c>
      <c r="Z77" s="2">
        <f>$B$3 + $B$4*N77 + ('Станд.норм.распр.'!J78 * $B$5)</f>
        <v>4494.1153854251897</v>
      </c>
      <c r="AA77" s="2">
        <f>$B$3 + $B$4*O77 + ('Станд.норм.распр.'!K78 * $B$5)</f>
        <v>4483.9382795471611</v>
      </c>
    </row>
    <row r="78" spans="3:27" x14ac:dyDescent="0.3">
      <c r="C78" s="4" t="s">
        <v>86</v>
      </c>
      <c r="D78" s="4" t="s">
        <v>5</v>
      </c>
      <c r="E78" s="4">
        <v>923</v>
      </c>
      <c r="F78">
        <f>$E78+'Станд.норм.распр.'!B78</f>
        <v>921.90539584157523</v>
      </c>
      <c r="G78">
        <f>$E78+'Станд.норм.распр.'!C78</f>
        <v>923.37573499866994</v>
      </c>
      <c r="H78">
        <f>$E78+'Станд.норм.распр.'!D78</f>
        <v>922.64837570587406</v>
      </c>
      <c r="I78">
        <f>$E78+'Станд.норм.распр.'!E78</f>
        <v>923.77484855864896</v>
      </c>
      <c r="J78">
        <f>$E78+'Станд.норм.распр.'!F78</f>
        <v>922.06194489085465</v>
      </c>
      <c r="K78">
        <f>$E78+'Станд.норм.распр.'!G78</f>
        <v>921.49311279831454</v>
      </c>
      <c r="L78">
        <f>$E78+'Станд.норм.распр.'!H78</f>
        <v>924.18016862668446</v>
      </c>
      <c r="M78">
        <f>$E78+'Станд.норм.распр.'!I78</f>
        <v>923.35569655665313</v>
      </c>
      <c r="N78">
        <f>$E78+'Станд.норм.распр.'!J78</f>
        <v>922.96882252162322</v>
      </c>
      <c r="O78">
        <f>$E78+'Станд.норм.распр.'!K78</f>
        <v>922.05431650404353</v>
      </c>
      <c r="P78" s="4" t="s">
        <v>304</v>
      </c>
      <c r="Q78" s="4" t="s">
        <v>5</v>
      </c>
      <c r="R78" s="2">
        <f>$B$3 + $B$4*F78 + ('Станд.норм.распр.'!B79 * $B$5)</f>
        <v>10135.75955730502</v>
      </c>
      <c r="S78" s="2">
        <f>$B$3 + $B$4*G78 + ('Станд.норм.распр.'!C79 * $B$5)</f>
        <v>10177.58833731804</v>
      </c>
      <c r="T78" s="2">
        <f>$B$3 + $B$4*H78 + ('Станд.норм.распр.'!D79 * $B$5)</f>
        <v>10154.854982919089</v>
      </c>
      <c r="U78" s="2">
        <f>$B$3 + $B$4*I78 + ('Станд.норм.распр.'!E79 * $B$5)</f>
        <v>10175.169016609827</v>
      </c>
      <c r="V78" s="2">
        <f>$B$3 + $B$4*J78 + ('Станд.норм.распр.'!F79 * $B$5)</f>
        <v>10144.410172959935</v>
      </c>
      <c r="W78" s="2">
        <f>$B$3 + $B$4*K78 + ('Станд.норм.распр.'!G79 * $B$5)</f>
        <v>10152.384963565593</v>
      </c>
      <c r="X78" s="2">
        <f>$B$3 + $B$4*L78 + ('Станд.норм.распр.'!H79 * $B$5)</f>
        <v>10175.35592837169</v>
      </c>
      <c r="Y78" s="2">
        <f>$B$3 + $B$4*M78 + ('Станд.норм.распр.'!I79 * $B$5)</f>
        <v>10178.333736438246</v>
      </c>
      <c r="Z78" s="2">
        <f>$B$3 + $B$4*N78 + ('Станд.норм.распр.'!J79 * $B$5)</f>
        <v>10185.269374777447</v>
      </c>
      <c r="AA78" s="2">
        <f>$B$3 + $B$4*O78 + ('Станд.норм.распр.'!K79 * $B$5)</f>
        <v>10159.546208886779</v>
      </c>
    </row>
    <row r="79" spans="3:27" x14ac:dyDescent="0.3">
      <c r="C79" s="4" t="s">
        <v>87</v>
      </c>
      <c r="D79" s="4" t="s">
        <v>5</v>
      </c>
      <c r="E79" s="4">
        <v>235</v>
      </c>
      <c r="F79">
        <f>$E79+'Станд.норм.распр.'!B79</f>
        <v>232.86668922752142</v>
      </c>
      <c r="G79">
        <f>$E79+'Станд.норм.распр.'!C79</f>
        <v>235.71725025918568</v>
      </c>
      <c r="H79">
        <f>$E79+'Станд.норм.распр.'!D79</f>
        <v>234.08031668383046</v>
      </c>
      <c r="I79">
        <f>$E79+'Станд.норм.распр.'!E79</f>
        <v>234.96063138496538</v>
      </c>
      <c r="J79">
        <f>$E79+'Станд.норм.распр.'!F79</f>
        <v>233.63653101783711</v>
      </c>
      <c r="K79">
        <f>$E79+'Станд.норм.распр.'!G79</f>
        <v>235.21785808712593</v>
      </c>
      <c r="L79">
        <f>$E79+'Станд.норм.распр.'!H79</f>
        <v>234.48600816424005</v>
      </c>
      <c r="M79">
        <f>$E79+'Станд.норм.распр.'!I79</f>
        <v>235.82456381278462</v>
      </c>
      <c r="N79">
        <f>$E79+'Станд.норм.распр.'!J79</f>
        <v>237.06803633773234</v>
      </c>
      <c r="O79">
        <f>$E79+'Станд.норм.распр.'!K79</f>
        <v>235.32763637136668</v>
      </c>
      <c r="P79" s="4" t="s">
        <v>305</v>
      </c>
      <c r="Q79" s="4" t="s">
        <v>5</v>
      </c>
      <c r="R79" s="2">
        <f>$B$3 + $B$4*F79 + ('Станд.норм.распр.'!B80 * $B$5)</f>
        <v>2586.9796095228667</v>
      </c>
      <c r="S79" s="2">
        <f>$B$3 + $B$4*G79 + ('Станд.норм.распр.'!C80 * $B$5)</f>
        <v>2600.5170508049778</v>
      </c>
      <c r="T79" s="2">
        <f>$B$3 + $B$4*H79 + ('Станд.норм.распр.'!D80 * $B$5)</f>
        <v>2589.1744149610749</v>
      </c>
      <c r="U79" s="2">
        <f>$B$3 + $B$4*I79 + ('Станд.норм.распр.'!E80 * $B$5)</f>
        <v>2590.056857879812</v>
      </c>
      <c r="V79" s="2">
        <f>$B$3 + $B$4*J79 + ('Станд.норм.распр.'!F80 * $B$5)</f>
        <v>2588.6762941261986</v>
      </c>
      <c r="W79" s="2">
        <f>$B$3 + $B$4*K79 + ('Станд.норм.распр.'!G80 * $B$5)</f>
        <v>2594.6693068270397</v>
      </c>
      <c r="X79" s="2">
        <f>$B$3 + $B$4*L79 + ('Станд.норм.распр.'!H80 * $B$5)</f>
        <v>2585.1973492443212</v>
      </c>
      <c r="Y79" s="2">
        <f>$B$3 + $B$4*M79 + ('Станд.норм.распр.'!I80 * $B$5)</f>
        <v>2590.5228022473457</v>
      </c>
      <c r="Z79" s="2">
        <f>$B$3 + $B$4*N79 + ('Станд.норм.распр.'!J80 * $B$5)</f>
        <v>2622.5864672504249</v>
      </c>
      <c r="AA79" s="2">
        <f>$B$3 + $B$4*O79 + ('Станд.норм.распр.'!K80 * $B$5)</f>
        <v>2604.4267570703814</v>
      </c>
    </row>
    <row r="80" spans="3:27" x14ac:dyDescent="0.3">
      <c r="C80" s="4" t="s">
        <v>88</v>
      </c>
      <c r="D80" s="4" t="s">
        <v>5</v>
      </c>
      <c r="E80" s="4">
        <v>314</v>
      </c>
      <c r="F80">
        <f>$E80+'Станд.норм.распр.'!B80</f>
        <v>315.27178089112567</v>
      </c>
      <c r="G80">
        <f>$E80+'Станд.норм.распр.'!C80</f>
        <v>313.2919219948817</v>
      </c>
      <c r="H80">
        <f>$E80+'Станд.норм.распр.'!D80</f>
        <v>314.03232571543776</v>
      </c>
      <c r="I80">
        <f>$E80+'Станд.норм.распр.'!E80</f>
        <v>313.05443473835476</v>
      </c>
      <c r="J80">
        <f>$E80+'Станд.норм.распр.'!F80</f>
        <v>314.51938365888782</v>
      </c>
      <c r="K80">
        <f>$E80+'Станд.норм.распр.'!G80</f>
        <v>313.25254087429494</v>
      </c>
      <c r="L80">
        <f>$E80+'Станд.норм.распр.'!H80</f>
        <v>313.09458438196452</v>
      </c>
      <c r="M80">
        <f>$E80+'Станд.норм.распр.'!I80</f>
        <v>312.05028892296832</v>
      </c>
      <c r="N80">
        <f>$E80+'Станд.норм.распр.'!J80</f>
        <v>314.09311861504102</v>
      </c>
      <c r="O80">
        <f>$E80+'Станд.норм.распр.'!K80</f>
        <v>314.20252855392755</v>
      </c>
      <c r="P80" s="4" t="s">
        <v>306</v>
      </c>
      <c r="Q80" s="4" t="s">
        <v>5</v>
      </c>
      <c r="R80" s="2">
        <f>$B$3 + $B$4*F80 + ('Станд.норм.распр.'!B81 * $B$5)</f>
        <v>3495.6328080922394</v>
      </c>
      <c r="S80" s="2">
        <f>$B$3 + $B$4*G80 + ('Станд.норм.распр.'!C81 * $B$5)</f>
        <v>3447.5703683957981</v>
      </c>
      <c r="T80" s="2">
        <f>$B$3 + $B$4*H80 + ('Станд.норм.распр.'!D81 * $B$5)</f>
        <v>3469.84431200978</v>
      </c>
      <c r="U80" s="2">
        <f>$B$3 + $B$4*I80 + ('Станд.норм.распр.'!E81 * $B$5)</f>
        <v>3445.7220591568039</v>
      </c>
      <c r="V80" s="2">
        <f>$B$3 + $B$4*J80 + ('Станд.норм.распр.'!F81 * $B$5)</f>
        <v>3470.1483943732746</v>
      </c>
      <c r="W80" s="2">
        <f>$B$3 + $B$4*K80 + ('Станд.норм.распр.'!G81 * $B$5)</f>
        <v>3450.2364952706266</v>
      </c>
      <c r="X80" s="2">
        <f>$B$3 + $B$4*L80 + ('Станд.норм.распр.'!H81 * $B$5)</f>
        <v>3458.669869021076</v>
      </c>
      <c r="Y80" s="2">
        <f>$B$3 + $B$4*M80 + ('Станд.норм.распр.'!I81 * $B$5)</f>
        <v>3455.7943901083199</v>
      </c>
      <c r="Z80" s="2">
        <f>$B$3 + $B$4*N80 + ('Станд.норм.распр.'!J81 * $B$5)</f>
        <v>3464.9272607813764</v>
      </c>
      <c r="AA80" s="2">
        <f>$B$3 + $B$4*O80 + ('Станд.норм.распр.'!K81 * $B$5)</f>
        <v>3469.3662338460563</v>
      </c>
    </row>
    <row r="81" spans="3:27" x14ac:dyDescent="0.3">
      <c r="C81" s="4" t="s">
        <v>89</v>
      </c>
      <c r="D81" s="4" t="s">
        <v>5</v>
      </c>
      <c r="E81" s="4">
        <v>911</v>
      </c>
      <c r="F81">
        <f>$E81+'Станд.норм.распр.'!B81</f>
        <v>912.51591314331745</v>
      </c>
      <c r="G81">
        <f>$E81+'Станд.норм.распр.'!C81</f>
        <v>909.59546960578882</v>
      </c>
      <c r="H81">
        <f>$E81+'Станд.норм.распр.'!D81</f>
        <v>911.16541434888495</v>
      </c>
      <c r="I81">
        <f>$E81+'Станд.норм.распр.'!E81</f>
        <v>909.68036411498906</v>
      </c>
      <c r="J81">
        <f>$E81+'Станд.норм.распр.'!F81</f>
        <v>910.60390823616763</v>
      </c>
      <c r="K81">
        <f>$E81+'Станд.норм.распр.'!G81</f>
        <v>909.93983840593137</v>
      </c>
      <c r="L81">
        <f>$E81+'Станд.норм.распр.'!H81</f>
        <v>911.06993786882958</v>
      </c>
      <c r="M81">
        <f>$E81+'Станд.норм.распр.'!I81</f>
        <v>912.0268013284076</v>
      </c>
      <c r="N81">
        <f>$E81+'Станд.норм.распр.'!J81</f>
        <v>910.54477289065835</v>
      </c>
      <c r="O81">
        <f>$E81+'Станд.норм.распр.'!K81</f>
        <v>910.90426886142814</v>
      </c>
      <c r="P81" s="4" t="s">
        <v>307</v>
      </c>
      <c r="Q81" s="4" t="s">
        <v>5</v>
      </c>
      <c r="R81" s="2">
        <f>$B$3 + $B$4*F81 + ('Станд.норм.распр.'!B82 * $B$5)</f>
        <v>10056.153100902244</v>
      </c>
      <c r="S81" s="2">
        <f>$B$3 + $B$4*G81 + ('Станд.норм.распр.'!C82 * $B$5)</f>
        <v>9994.8412318846385</v>
      </c>
      <c r="T81" s="2">
        <f>$B$3 + $B$4*H81 + ('Станд.норм.распр.'!D82 * $B$5)</f>
        <v>10037.527701781219</v>
      </c>
      <c r="U81" s="2">
        <f>$B$3 + $B$4*I81 + ('Станд.норм.распр.'!E82 * $B$5)</f>
        <v>10026.098591181071</v>
      </c>
      <c r="V81" s="2">
        <f>$B$3 + $B$4*J81 + ('Станд.норм.распр.'!F82 * $B$5)</f>
        <v>10032.722330817851</v>
      </c>
      <c r="W81" s="2">
        <f>$B$3 + $B$4*K81 + ('Станд.норм.распр.'!G82 * $B$5)</f>
        <v>10006.526694935164</v>
      </c>
      <c r="X81" s="2">
        <f>$B$3 + $B$4*L81 + ('Станд.норм.распр.'!H82 * $B$5)</f>
        <v>10033.947961330487</v>
      </c>
      <c r="Y81" s="2">
        <f>$B$3 + $B$4*M81 + ('Станд.норм.распр.'!I82 * $B$5)</f>
        <v>10046.49070271822</v>
      </c>
      <c r="Z81" s="2">
        <f>$B$3 + $B$4*N81 + ('Станд.норм.распр.'!J82 * $B$5)</f>
        <v>10027.723187460797</v>
      </c>
      <c r="AA81" s="2">
        <f>$B$3 + $B$4*O81 + ('Станд.норм.распр.'!K82 * $B$5)</f>
        <v>10030.844861405174</v>
      </c>
    </row>
    <row r="82" spans="3:27" x14ac:dyDescent="0.3">
      <c r="C82" s="4" t="s">
        <v>90</v>
      </c>
      <c r="D82" s="4" t="s">
        <v>5</v>
      </c>
      <c r="E82" s="4">
        <v>273</v>
      </c>
      <c r="F82">
        <f>$E82+'Станд.норм.распр.'!B82</f>
        <v>273.49756181397242</v>
      </c>
      <c r="G82">
        <f>$E82+'Станд.норм.распр.'!C82</f>
        <v>270.25456291344017</v>
      </c>
      <c r="H82">
        <f>$E82+'Станд.норм.распр.'!D82</f>
        <v>273.07868266038713</v>
      </c>
      <c r="I82">
        <f>$E82+'Станд.норм.распр.'!E82</f>
        <v>273.62384287957684</v>
      </c>
      <c r="J82">
        <f>$E82+'Станд.норм.распр.'!F82</f>
        <v>273.231037802223</v>
      </c>
      <c r="K82">
        <f>$E82+'Станд.норм.распр.'!G82</f>
        <v>271.13205249665771</v>
      </c>
      <c r="L82">
        <f>$E82+'Станд.норм.распр.'!H82</f>
        <v>272.79762719704013</v>
      </c>
      <c r="M82">
        <f>$E82+'Станд.норм.распр.'!I82</f>
        <v>273.0217653450818</v>
      </c>
      <c r="N82">
        <f>$E82+'Станд.норм.распр.'!J82</f>
        <v>272.74785396261723</v>
      </c>
      <c r="O82">
        <f>$E82+'Станд.норм.распр.'!K82</f>
        <v>272.65532265882939</v>
      </c>
      <c r="P82" s="4" t="s">
        <v>308</v>
      </c>
      <c r="Q82" s="4" t="s">
        <v>5</v>
      </c>
      <c r="R82" s="2">
        <f>$B$3 + $B$4*F82 + ('Станд.норм.распр.'!B83 * $B$5)</f>
        <v>3032.7188287630561</v>
      </c>
      <c r="S82" s="2">
        <f>$B$3 + $B$4*G82 + ('Станд.норм.распр.'!C83 * $B$5)</f>
        <v>2990.1522780166415</v>
      </c>
      <c r="T82" s="2">
        <f>$B$3 + $B$4*H82 + ('Станд.норм.распр.'!D83 * $B$5)</f>
        <v>3029.2151914183632</v>
      </c>
      <c r="U82" s="2">
        <f>$B$3 + $B$4*I82 + ('Станд.норм.распр.'!E83 * $B$5)</f>
        <v>3006.1220227254962</v>
      </c>
      <c r="V82" s="2">
        <f>$B$3 + $B$4*J82 + ('Станд.норм.распр.'!F83 * $B$5)</f>
        <v>3029.7975829400384</v>
      </c>
      <c r="W82" s="2">
        <f>$B$3 + $B$4*K82 + ('Станд.норм.распр.'!G83 * $B$5)</f>
        <v>2995.9928108384629</v>
      </c>
      <c r="X82" s="2">
        <f>$B$3 + $B$4*L82 + ('Станд.норм.распр.'!H83 * $B$5)</f>
        <v>3023.6304971824138</v>
      </c>
      <c r="Y82" s="2">
        <f>$B$3 + $B$4*M82 + ('Станд.норм.распр.'!I83 * $B$5)</f>
        <v>3020.5001653486688</v>
      </c>
      <c r="Z82" s="2">
        <f>$B$3 + $B$4*N82 + ('Станд.норм.распр.'!J83 * $B$5)</f>
        <v>3018.760588793346</v>
      </c>
      <c r="AA82" s="2">
        <f>$B$3 + $B$4*O82 + ('Станд.норм.распр.'!K83 * $B$5)</f>
        <v>3009.4069929521065</v>
      </c>
    </row>
    <row r="83" spans="3:27" x14ac:dyDescent="0.3">
      <c r="C83" s="4" t="s">
        <v>91</v>
      </c>
      <c r="D83" s="4" t="s">
        <v>5</v>
      </c>
      <c r="E83" s="4">
        <v>403</v>
      </c>
      <c r="F83">
        <f>$E83+'Станд.норм.распр.'!B83</f>
        <v>404.13840542326216</v>
      </c>
      <c r="G83">
        <f>$E83+'Станд.норм.распр.'!C83</f>
        <v>403.3724539965333</v>
      </c>
      <c r="H83">
        <f>$E83+'Станд.норм.распр.'!D83</f>
        <v>404.26107579490053</v>
      </c>
      <c r="I83">
        <f>$E83+'Станд.норм.распр.'!E83</f>
        <v>401.02886122779455</v>
      </c>
      <c r="J83">
        <f>$E83+'Станд.норм.распр.'!F83</f>
        <v>404.13957412395393</v>
      </c>
      <c r="K83">
        <f>$E83+'Станд.норм.распр.'!G83</f>
        <v>402.94891481946979</v>
      </c>
      <c r="L83">
        <f>$E83+'Станд.норм.распр.'!H83</f>
        <v>403.98406644610805</v>
      </c>
      <c r="M83">
        <f>$E83+'Станд.норм.распр.'!I83</f>
        <v>403.36230517252989</v>
      </c>
      <c r="N83">
        <f>$E83+'Станд.норм.распр.'!J83</f>
        <v>403.50379946717294</v>
      </c>
      <c r="O83">
        <f>$E83+'Станд.норм.распр.'!K83</f>
        <v>402.57760485610925</v>
      </c>
      <c r="P83" s="4" t="s">
        <v>309</v>
      </c>
      <c r="Q83" s="4" t="s">
        <v>5</v>
      </c>
      <c r="R83" s="2">
        <f>$B$3 + $B$4*F83 + ('Станд.норм.распр.'!B84 * $B$5)</f>
        <v>4459.0964682537306</v>
      </c>
      <c r="S83" s="2">
        <f>$B$3 + $B$4*G83 + ('Станд.норм.распр.'!C84 * $B$5)</f>
        <v>4457.1326600088214</v>
      </c>
      <c r="T83" s="2">
        <f>$B$3 + $B$4*H83 + ('Станд.норм.распр.'!D84 * $B$5)</f>
        <v>4463.4467110153055</v>
      </c>
      <c r="U83" s="2">
        <f>$B$3 + $B$4*I83 + ('Станд.норм.распр.'!E84 * $B$5)</f>
        <v>4431.3471027816122</v>
      </c>
      <c r="V83" s="2">
        <f>$B$3 + $B$4*J83 + ('Станд.норм.распр.'!F84 * $B$5)</f>
        <v>4449.6499697014515</v>
      </c>
      <c r="W83" s="2">
        <f>$B$3 + $B$4*K83 + ('Станд.норм.распр.'!G84 * $B$5)</f>
        <v>4440.2802904822893</v>
      </c>
      <c r="X83" s="2">
        <f>$B$3 + $B$4*L83 + ('Станд.норм.распр.'!H84 * $B$5)</f>
        <v>4449.4110477170325</v>
      </c>
      <c r="Y83" s="2">
        <f>$B$3 + $B$4*M83 + ('Станд.норм.распр.'!I84 * $B$5)</f>
        <v>4462.7156421209947</v>
      </c>
      <c r="Z83" s="2">
        <f>$B$3 + $B$4*N83 + ('Станд.норм.распр.'!J84 * $B$5)</f>
        <v>4448.4233451970213</v>
      </c>
      <c r="AA83" s="2">
        <f>$B$3 + $B$4*O83 + ('Станд.норм.распр.'!K84 * $B$5)</f>
        <v>4439.4839975442737</v>
      </c>
    </row>
    <row r="84" spans="3:27" x14ac:dyDescent="0.3">
      <c r="C84" s="4" t="s">
        <v>92</v>
      </c>
      <c r="D84" s="4" t="s">
        <v>5</v>
      </c>
      <c r="E84" s="4">
        <v>692</v>
      </c>
      <c r="F84">
        <f>$E84+'Станд.норм.распр.'!B84</f>
        <v>691.95266762198298</v>
      </c>
      <c r="G84">
        <f>$E84+'Станд.норм.распр.'!C84</f>
        <v>692.6706295607728</v>
      </c>
      <c r="H84">
        <f>$E84+'Станд.норм.распр.'!D84</f>
        <v>692.28609747459996</v>
      </c>
      <c r="I84">
        <f>$E84+'Станд.норм.распр.'!E84</f>
        <v>692.66995880843024</v>
      </c>
      <c r="J84">
        <f>$E84+'Станд.норм.распр.'!F84</f>
        <v>690.90162825977313</v>
      </c>
      <c r="K84">
        <f>$E84+'Станд.норм.распр.'!G84</f>
        <v>691.31580305201351</v>
      </c>
      <c r="L84">
        <f>$E84+'Станд.норм.распр.'!H84</f>
        <v>691.06514631220489</v>
      </c>
      <c r="M84">
        <f>$E84+'Станд.норм.распр.'!I84</f>
        <v>693.30336502479622</v>
      </c>
      <c r="N84">
        <f>$E84+'Станд.норм.распр.'!J84</f>
        <v>691.54239456201321</v>
      </c>
      <c r="O84">
        <f>$E84+'Станд.норм.распр.'!K84</f>
        <v>691.68114934745245</v>
      </c>
      <c r="P84" s="4" t="s">
        <v>310</v>
      </c>
      <c r="Q84" s="4" t="s">
        <v>5</v>
      </c>
      <c r="R84" s="2">
        <f>$B$3 + $B$4*F84 + ('Станд.норм.распр.'!B85 * $B$5)</f>
        <v>7632.0051343098166</v>
      </c>
      <c r="S84" s="2">
        <f>$B$3 + $B$4*G84 + ('Станд.норм.распр.'!C85 * $B$5)</f>
        <v>7619.2509626887622</v>
      </c>
      <c r="T84" s="2">
        <f>$B$3 + $B$4*H84 + ('Станд.норм.распр.'!D85 * $B$5)</f>
        <v>7634.899480690161</v>
      </c>
      <c r="U84" s="2">
        <f>$B$3 + $B$4*I84 + ('Станд.норм.распр.'!E85 * $B$5)</f>
        <v>7635.579209745425</v>
      </c>
      <c r="V84" s="2">
        <f>$B$3 + $B$4*J84 + ('Станд.норм.распр.'!F85 * $B$5)</f>
        <v>7598.6462306171015</v>
      </c>
      <c r="W84" s="2">
        <f>$B$3 + $B$4*K84 + ('Станд.норм.распр.'!G85 * $B$5)</f>
        <v>7625.8389398569998</v>
      </c>
      <c r="X84" s="2">
        <f>$B$3 + $B$4*L84 + ('Станд.норм.распр.'!H85 * $B$5)</f>
        <v>7610.4589910935611</v>
      </c>
      <c r="Y84" s="2">
        <f>$B$3 + $B$4*M84 + ('Станд.норм.распр.'!I85 * $B$5)</f>
        <v>7642.9233726410312</v>
      </c>
      <c r="Z84" s="2">
        <f>$B$3 + $B$4*N84 + ('Станд.норм.распр.'!J85 * $B$5)</f>
        <v>7630.9390041567676</v>
      </c>
      <c r="AA84" s="2">
        <f>$B$3 + $B$4*O84 + ('Станд.норм.распр.'!K85 * $B$5)</f>
        <v>7624.2192309744278</v>
      </c>
    </row>
    <row r="85" spans="3:27" x14ac:dyDescent="0.3">
      <c r="C85" s="4" t="s">
        <v>93</v>
      </c>
      <c r="D85" s="4" t="s">
        <v>5</v>
      </c>
      <c r="E85" s="4">
        <v>429</v>
      </c>
      <c r="F85">
        <f>$E85+'Станд.норм.распр.'!B85</f>
        <v>429.7250878297782</v>
      </c>
      <c r="G85">
        <f>$E85+'Станд.норм.распр.'!C85</f>
        <v>427.43044861336239</v>
      </c>
      <c r="H85">
        <f>$E85+'Станд.норм.распр.'!D85</f>
        <v>429.63915649661794</v>
      </c>
      <c r="I85">
        <f>$E85+'Станд.норм.распр.'!E85</f>
        <v>429.2455180947436</v>
      </c>
      <c r="J85">
        <f>$E85+'Станд.норм.распр.'!F85</f>
        <v>427.30314663995523</v>
      </c>
      <c r="K85">
        <f>$E85+'Станд.норм.распр.'!G85</f>
        <v>429.81834514276125</v>
      </c>
      <c r="L85">
        <f>$E85+'Станд.норм.распр.'!H85</f>
        <v>428.41582018436748</v>
      </c>
      <c r="M85">
        <f>$E85+'Станд.норм.распр.'!I85</f>
        <v>429.28737304091919</v>
      </c>
      <c r="N85">
        <f>$E85+'Станд.норм.распр.'!J85</f>
        <v>430.10807377495803</v>
      </c>
      <c r="O85">
        <f>$E85+'Станд.норм.распр.'!K85</f>
        <v>429.1918431280501</v>
      </c>
      <c r="P85" s="4" t="s">
        <v>311</v>
      </c>
      <c r="Q85" s="4" t="s">
        <v>5</v>
      </c>
      <c r="R85" s="2">
        <f>$B$3 + $B$4*F85 + ('Станд.норм.распр.'!B86 * $B$5)</f>
        <v>4737.7277126213885</v>
      </c>
      <c r="S85" s="2">
        <f>$B$3 + $B$4*G85 + ('Станд.норм.распр.'!C86 * $B$5)</f>
        <v>4718.9105423638539</v>
      </c>
      <c r="T85" s="2">
        <f>$B$3 + $B$4*H85 + ('Станд.норм.распр.'!D86 * $B$5)</f>
        <v>4752.1433900909033</v>
      </c>
      <c r="U85" s="2">
        <f>$B$3 + $B$4*I85 + ('Станд.норм.распр.'!E86 * $B$5)</f>
        <v>4721.6123896430945</v>
      </c>
      <c r="V85" s="2">
        <f>$B$3 + $B$4*J85 + ('Станд.норм.распр.'!F86 * $B$5)</f>
        <v>4718.0316339689016</v>
      </c>
      <c r="W85" s="2">
        <f>$B$3 + $B$4*K85 + ('Станд.норм.распр.'!G86 * $B$5)</f>
        <v>4742.9505621165008</v>
      </c>
      <c r="X85" s="2">
        <f>$B$3 + $B$4*L85 + ('Станд.норм.распр.'!H86 * $B$5)</f>
        <v>4725.4381063465262</v>
      </c>
      <c r="Y85" s="2">
        <f>$B$3 + $B$4*M85 + ('Станд.норм.распр.'!I86 * $B$5)</f>
        <v>4722.3228186920169</v>
      </c>
      <c r="Z85" s="2">
        <f>$B$3 + $B$4*N85 + ('Станд.норм.распр.'!J86 * $B$5)</f>
        <v>4746.5123582367669</v>
      </c>
      <c r="AA85" s="2">
        <f>$B$3 + $B$4*O85 + ('Станд.норм.распр.'!K86 * $B$5)</f>
        <v>4732.8480609519902</v>
      </c>
    </row>
    <row r="86" spans="3:27" x14ac:dyDescent="0.3">
      <c r="C86" s="4" t="s">
        <v>94</v>
      </c>
      <c r="D86" s="4" t="s">
        <v>5</v>
      </c>
      <c r="E86" s="4">
        <v>902</v>
      </c>
      <c r="F86">
        <f>$E86+'Станд.норм.распр.'!B86</f>
        <v>901.63908294375869</v>
      </c>
      <c r="G86">
        <f>$E86+'Станд.норм.распр.'!C86</f>
        <v>902.35284529076307</v>
      </c>
      <c r="H86">
        <f>$E86+'Станд.норм.распр.'!D86</f>
        <v>903.34585206978954</v>
      </c>
      <c r="I86">
        <f>$E86+'Станд.норм.распр.'!E86</f>
        <v>900.43463228899054</v>
      </c>
      <c r="J86">
        <f>$E86+'Станд.норм.распр.'!F86</f>
        <v>902.41078010326601</v>
      </c>
      <c r="K86">
        <f>$E86+'Станд.норм.распр.'!G86</f>
        <v>902.10541839401412</v>
      </c>
      <c r="L86">
        <f>$E86+'Станд.норм.распр.'!H86</f>
        <v>901.87378714649822</v>
      </c>
      <c r="M86">
        <f>$E86+'Станд.норм.распр.'!I86</f>
        <v>900.4624128046562</v>
      </c>
      <c r="N86">
        <f>$E86+'Станд.норм.распр.'!J86</f>
        <v>902.14706074580317</v>
      </c>
      <c r="O86">
        <f>$E86+'Станд.норм.распр.'!K86</f>
        <v>901.74864294927102</v>
      </c>
      <c r="P86" s="4" t="s">
        <v>312</v>
      </c>
      <c r="Q86" s="4" t="s">
        <v>5</v>
      </c>
      <c r="R86" s="2">
        <f>$B$3 + $B$4*F86 + ('Станд.норм.распр.'!B87 * $B$5)</f>
        <v>9929.7726715870667</v>
      </c>
      <c r="S86" s="2">
        <f>$B$3 + $B$4*G86 + ('Станд.норм.распр.'!C87 * $B$5)</f>
        <v>9946.4942637335625</v>
      </c>
      <c r="T86" s="2">
        <f>$B$3 + $B$4*H86 + ('Станд.норм.распр.'!D87 * $B$5)</f>
        <v>9940.2280726120225</v>
      </c>
      <c r="U86" s="2">
        <f>$B$3 + $B$4*I86 + ('Станд.норм.распр.'!E87 * $B$5)</f>
        <v>9932.9829195833881</v>
      </c>
      <c r="V86" s="2">
        <f>$B$3 + $B$4*J86 + ('Станд.норм.распр.'!F87 * $B$5)</f>
        <v>9941.3098421631439</v>
      </c>
      <c r="W86" s="2">
        <f>$B$3 + $B$4*K86 + ('Станд.норм.распр.'!G87 * $B$5)</f>
        <v>9945.8512020940689</v>
      </c>
      <c r="X86" s="2">
        <f>$B$3 + $B$4*L86 + ('Станд.норм.распр.'!H87 * $B$5)</f>
        <v>9934.1725704856217</v>
      </c>
      <c r="Y86" s="2">
        <f>$B$3 + $B$4*M86 + ('Станд.норм.распр.'!I87 * $B$5)</f>
        <v>9914.011580878956</v>
      </c>
      <c r="Z86" s="2">
        <f>$B$3 + $B$4*N86 + ('Станд.норм.распр.'!J87 * $B$5)</f>
        <v>9941.1460278882587</v>
      </c>
      <c r="AA86" s="2">
        <f>$B$3 + $B$4*O86 + ('Станд.норм.распр.'!K87 * $B$5)</f>
        <v>9932.1346468807897</v>
      </c>
    </row>
    <row r="87" spans="3:27" x14ac:dyDescent="0.3">
      <c r="C87" s="4" t="s">
        <v>95</v>
      </c>
      <c r="D87" s="4" t="s">
        <v>5</v>
      </c>
      <c r="E87" s="4">
        <v>283</v>
      </c>
      <c r="F87">
        <f>$E87+'Станд.норм.распр.'!B87</f>
        <v>282.74919546730234</v>
      </c>
      <c r="G87">
        <f>$E87+'Станд.норм.распр.'!C87</f>
        <v>283.73477394835209</v>
      </c>
      <c r="H87">
        <f>$E87+'Станд.норм.распр.'!D87</f>
        <v>281.82485553825973</v>
      </c>
      <c r="I87">
        <f>$E87+'Станд.норм.распр.'!E87</f>
        <v>284.57799604494357</v>
      </c>
      <c r="J87">
        <f>$E87+'Станд.норм.распр.'!F87</f>
        <v>283.08791789191309</v>
      </c>
      <c r="K87">
        <f>$E87+'Станд.норм.распр.'!G87</f>
        <v>283.96573330665706</v>
      </c>
      <c r="L87">
        <f>$E87+'Станд.норм.распр.'!H87</f>
        <v>282.95121243046015</v>
      </c>
      <c r="M87">
        <f>$E87+'Станд.норм.распр.'!I87</f>
        <v>282.43611555863754</v>
      </c>
      <c r="N87">
        <f>$E87+'Станд.норм.распр.'!J87</f>
        <v>283.39203996493598</v>
      </c>
      <c r="O87">
        <f>$E87+'Станд.норм.распр.'!K87</f>
        <v>282.87773049320094</v>
      </c>
      <c r="P87" s="4" t="s">
        <v>313</v>
      </c>
      <c r="Q87" s="4" t="s">
        <v>5</v>
      </c>
      <c r="R87" s="2">
        <f>$B$3 + $B$4*F87 + ('Станд.норм.распр.'!B88 * $B$5)</f>
        <v>3132.4575434660364</v>
      </c>
      <c r="S87" s="2">
        <f>$B$3 + $B$4*G87 + ('Станд.норм.распр.'!C88 * $B$5)</f>
        <v>3122.7305635689409</v>
      </c>
      <c r="T87" s="2">
        <f>$B$3 + $B$4*H87 + ('Станд.норм.распр.'!D88 * $B$5)</f>
        <v>3118.4310797066719</v>
      </c>
      <c r="U87" s="2">
        <f>$B$3 + $B$4*I87 + ('Станд.норм.распр.'!E88 * $B$5)</f>
        <v>3142.3826564655756</v>
      </c>
      <c r="V87" s="2">
        <f>$B$3 + $B$4*J87 + ('Станд.норм.распр.'!F88 * $B$5)</f>
        <v>3126.8547756958287</v>
      </c>
      <c r="W87" s="2">
        <f>$B$3 + $B$4*K87 + ('Станд.норм.распр.'!G88 * $B$5)</f>
        <v>3143.6440804605372</v>
      </c>
      <c r="X87" s="2">
        <f>$B$3 + $B$4*L87 + ('Станд.норм.распр.'!H88 * $B$5)</f>
        <v>3121.2969043331686</v>
      </c>
      <c r="Y87" s="2">
        <f>$B$3 + $B$4*M87 + ('Станд.норм.распр.'!I88 * $B$5)</f>
        <v>3120.6303083813982</v>
      </c>
      <c r="Z87" s="2">
        <f>$B$3 + $B$4*N87 + ('Станд.норм.распр.'!J88 * $B$5)</f>
        <v>3147.6943127523118</v>
      </c>
      <c r="AA87" s="2">
        <f>$B$3 + $B$4*O87 + ('Станд.норм.распр.'!K88 * $B$5)</f>
        <v>3120.2505496063386</v>
      </c>
    </row>
    <row r="88" spans="3:27" x14ac:dyDescent="0.3">
      <c r="C88" s="4" t="s">
        <v>96</v>
      </c>
      <c r="D88" s="4" t="s">
        <v>5</v>
      </c>
      <c r="E88" s="4">
        <v>677</v>
      </c>
      <c r="F88">
        <f>$E88+'Станд.норм.распр.'!B88</f>
        <v>677.91293259174563</v>
      </c>
      <c r="G88">
        <f>$E88+'Станд.норм.распр.'!C88</f>
        <v>675.62756112634088</v>
      </c>
      <c r="H88">
        <f>$E88+'Станд.норм.распр.'!D88</f>
        <v>677.4841854206461</v>
      </c>
      <c r="I88">
        <f>$E88+'Станд.норм.распр.'!E88</f>
        <v>676.7805222190218</v>
      </c>
      <c r="J88">
        <f>$E88+'Станд.норм.распр.'!F88</f>
        <v>676.87640876497608</v>
      </c>
      <c r="K88">
        <f>$E88+'Станд.норм.распр.'!G88</f>
        <v>677.66900156525662</v>
      </c>
      <c r="L88">
        <f>$E88+'Станд.норм.распр.'!H88</f>
        <v>676.42595195534523</v>
      </c>
      <c r="M88">
        <f>$E88+'Станд.норм.распр.'!I88</f>
        <v>676.98144858182059</v>
      </c>
      <c r="N88">
        <f>$E88+'Станд.норм.распр.'!J88</f>
        <v>678.82020812644623</v>
      </c>
      <c r="O88">
        <f>$E88+'Станд.норм.распр.'!K88</f>
        <v>676.39950157568092</v>
      </c>
      <c r="P88" s="4" t="s">
        <v>314</v>
      </c>
      <c r="Q88" s="4" t="s">
        <v>5</v>
      </c>
      <c r="R88" s="2">
        <f>$B$3 + $B$4*F88 + ('Станд.норм.распр.'!B89 * $B$5)</f>
        <v>7468.8588300311822</v>
      </c>
      <c r="S88" s="2">
        <f>$B$3 + $B$4*G88 + ('Станд.норм.распр.'!C89 * $B$5)</f>
        <v>7447.1794174194074</v>
      </c>
      <c r="T88" s="2">
        <f>$B$3 + $B$4*H88 + ('Станд.норм.распр.'!D89 * $B$5)</f>
        <v>7473.7819839690346</v>
      </c>
      <c r="U88" s="2">
        <f>$B$3 + $B$4*I88 + ('Станд.норм.распр.'!E89 * $B$5)</f>
        <v>7464.9098862594401</v>
      </c>
      <c r="V88" s="2">
        <f>$B$3 + $B$4*J88 + ('Станд.норм.распр.'!F89 * $B$5)</f>
        <v>7458.1943316268153</v>
      </c>
      <c r="W88" s="2">
        <f>$B$3 + $B$4*K88 + ('Станд.норм.распр.'!G89 * $B$5)</f>
        <v>7482.6720582102425</v>
      </c>
      <c r="X88" s="2">
        <f>$B$3 + $B$4*L88 + ('Станд.норм.распр.'!H89 * $B$5)</f>
        <v>7444.7318796380714</v>
      </c>
      <c r="Y88" s="2">
        <f>$B$3 + $B$4*M88 + ('Станд.норм.распр.'!I89 * $B$5)</f>
        <v>7476.2208463077841</v>
      </c>
      <c r="Z88" s="2">
        <f>$B$3 + $B$4*N88 + ('Станд.норм.распр.'!J89 * $B$5)</f>
        <v>7479.0643905878242</v>
      </c>
      <c r="AA88" s="2">
        <f>$B$3 + $B$4*O88 + ('Станд.норм.распр.'!K89 * $B$5)</f>
        <v>7455.6686750718072</v>
      </c>
    </row>
    <row r="89" spans="3:27" x14ac:dyDescent="0.3">
      <c r="C89" s="4" t="s">
        <v>97</v>
      </c>
      <c r="D89" s="4" t="s">
        <v>5</v>
      </c>
      <c r="E89" s="4">
        <v>316</v>
      </c>
      <c r="F89">
        <f>$E89+'Станд.норм.распр.'!B89</f>
        <v>315.75739683577558</v>
      </c>
      <c r="G89">
        <f>$E89+'Станд.норм.распр.'!C89</f>
        <v>316.1418050032953</v>
      </c>
      <c r="H89">
        <f>$E89+'Станд.норм.распр.'!D89</f>
        <v>316.82843826021417</v>
      </c>
      <c r="I89">
        <f>$E89+'Станд.норм.распр.'!E89</f>
        <v>316.70268242780003</v>
      </c>
      <c r="J89">
        <f>$E89+'Станд.норм.распр.'!F89</f>
        <v>315.83931502356427</v>
      </c>
      <c r="K89">
        <f>$E89+'Станд.норм.распр.'!G89</f>
        <v>317.59033788804663</v>
      </c>
      <c r="L89">
        <f>$E89+'Станд.норм.распр.'!H89</f>
        <v>314.8940453476971</v>
      </c>
      <c r="M89">
        <f>$E89+'Станд.норм.распр.'!I89</f>
        <v>317.71387910086196</v>
      </c>
      <c r="N89">
        <f>$E89+'Станд.норм.распр.'!J89</f>
        <v>315.78245568854618</v>
      </c>
      <c r="O89">
        <f>$E89+'Станд.норм.распр.'!K89</f>
        <v>316.14157308214635</v>
      </c>
      <c r="P89" s="4" t="s">
        <v>315</v>
      </c>
      <c r="Q89" s="4" t="s">
        <v>5</v>
      </c>
      <c r="R89" s="2">
        <f>$B$3 + $B$4*F89 + ('Станд.норм.распр.'!B90 * $B$5)</f>
        <v>3480.1797457368957</v>
      </c>
      <c r="S89" s="2">
        <f>$B$3 + $B$4*G89 + ('Станд.норм.распр.'!C90 * $B$5)</f>
        <v>3497.4250385750929</v>
      </c>
      <c r="T89" s="2">
        <f>$B$3 + $B$4*H89 + ('Станд.норм.распр.'!D90 * $B$5)</f>
        <v>3496.2771960074315</v>
      </c>
      <c r="U89" s="2">
        <f>$B$3 + $B$4*I89 + ('Станд.норм.распр.'!E90 * $B$5)</f>
        <v>3495.3064757593966</v>
      </c>
      <c r="V89" s="2">
        <f>$B$3 + $B$4*J89 + ('Станд.норм.распр.'!F90 * $B$5)</f>
        <v>3492.9229443043732</v>
      </c>
      <c r="W89" s="2">
        <f>$B$3 + $B$4*K89 + ('Станд.норм.распр.'!G90 * $B$5)</f>
        <v>3496.5660560721881</v>
      </c>
      <c r="X89" s="2">
        <f>$B$3 + $B$4*L89 + ('Станд.норм.распр.'!H90 * $B$5)</f>
        <v>3477.2802618483547</v>
      </c>
      <c r="Y89" s="2">
        <f>$B$3 + $B$4*M89 + ('Станд.норм.распр.'!I90 * $B$5)</f>
        <v>3512.4622192490642</v>
      </c>
      <c r="Z89" s="2">
        <f>$B$3 + $B$4*N89 + ('Станд.норм.распр.'!J90 * $B$5)</f>
        <v>3498.4545376921596</v>
      </c>
      <c r="AA89" s="2">
        <f>$B$3 + $B$4*O89 + ('Станд.норм.распр.'!K90 * $B$5)</f>
        <v>3505.3042799411196</v>
      </c>
    </row>
    <row r="90" spans="3:27" x14ac:dyDescent="0.3">
      <c r="C90" s="4" t="s">
        <v>98</v>
      </c>
      <c r="D90" s="4" t="s">
        <v>5</v>
      </c>
      <c r="E90" s="4">
        <v>305</v>
      </c>
      <c r="F90">
        <f>$E90+'Станд.норм.распр.'!B90</f>
        <v>304.20537561592937</v>
      </c>
      <c r="G90">
        <f>$E90+'Станд.норм.распр.'!C90</f>
        <v>305.65168705987162</v>
      </c>
      <c r="H90">
        <f>$E90+'Станд.норм.распр.'!D90</f>
        <v>304.68493057167507</v>
      </c>
      <c r="I90">
        <f>$E90+'Станд.норм.распр.'!E90</f>
        <v>304.73077433928847</v>
      </c>
      <c r="J90">
        <f>$E90+'Станд.норм.распр.'!F90</f>
        <v>305.52116433835181</v>
      </c>
      <c r="K90">
        <f>$E90+'Станд.норм.распр.'!G90</f>
        <v>303.78581547818612</v>
      </c>
      <c r="L90">
        <f>$E90+'Станд.норм.распр.'!H90</f>
        <v>304.93841811374296</v>
      </c>
      <c r="M90">
        <f>$E90+'Станд.норм.распр.'!I90</f>
        <v>305.40106101550919</v>
      </c>
      <c r="N90">
        <f>$E90+'Станд.норм.распр.'!J90</f>
        <v>306.20528056868352</v>
      </c>
      <c r="O90">
        <f>$E90+'Станд.норм.распр.'!K90</f>
        <v>306.52744178194553</v>
      </c>
      <c r="P90" s="4" t="s">
        <v>316</v>
      </c>
      <c r="Q90" s="4" t="s">
        <v>5</v>
      </c>
      <c r="R90" s="2">
        <f>$B$3 + $B$4*F90 + ('Станд.норм.распр.'!B91 * $B$5)</f>
        <v>3356.6458480230212</v>
      </c>
      <c r="S90" s="2">
        <f>$B$3 + $B$4*G90 + ('Станд.норм.распр.'!C91 * $B$5)</f>
        <v>3371.4378164198424</v>
      </c>
      <c r="T90" s="2">
        <f>$B$3 + $B$4*H90 + ('Станд.норм.распр.'!D91 * $B$5)</f>
        <v>3363.1560042771016</v>
      </c>
      <c r="U90" s="2">
        <f>$B$3 + $B$4*I90 + ('Станд.норм.распр.'!E91 * $B$5)</f>
        <v>3358.4586251785513</v>
      </c>
      <c r="V90" s="2">
        <f>$B$3 + $B$4*J90 + ('Станд.норм.распр.'!F91 * $B$5)</f>
        <v>3376.1071860929806</v>
      </c>
      <c r="W90" s="2">
        <f>$B$3 + $B$4*K90 + ('Станд.норм.распр.'!G91 * $B$5)</f>
        <v>3343.8684604128357</v>
      </c>
      <c r="X90" s="2">
        <f>$B$3 + $B$4*L90 + ('Станд.норм.распр.'!H91 * $B$5)</f>
        <v>3362.3136382423982</v>
      </c>
      <c r="Y90" s="2">
        <f>$B$3 + $B$4*M90 + ('Станд.норм.распр.'!I91 * $B$5)</f>
        <v>3379.9509062440338</v>
      </c>
      <c r="Z90" s="2">
        <f>$B$3 + $B$4*N90 + ('Станд.норм.распр.'!J91 * $B$5)</f>
        <v>3384.0597657011531</v>
      </c>
      <c r="AA90" s="2">
        <f>$B$3 + $B$4*O90 + ('Станд.норм.распр.'!K91 * $B$5)</f>
        <v>3384.6728810907225</v>
      </c>
    </row>
    <row r="91" spans="3:27" x14ac:dyDescent="0.3">
      <c r="C91" s="4" t="s">
        <v>99</v>
      </c>
      <c r="D91" s="4" t="s">
        <v>5</v>
      </c>
      <c r="E91" s="4">
        <v>970</v>
      </c>
      <c r="F91">
        <f>$E91+'Станд.норм.распр.'!B91</f>
        <v>969.59852402753313</v>
      </c>
      <c r="G91">
        <f>$E91+'Станд.норм.распр.'!C91</f>
        <v>969.47436208458384</v>
      </c>
      <c r="H91">
        <f>$E91+'Станд.норм.распр.'!D91</f>
        <v>969.73575199874176</v>
      </c>
      <c r="I91">
        <f>$E91+'Станд.норм.распр.'!E91</f>
        <v>969.15778971626423</v>
      </c>
      <c r="J91">
        <f>$E91+'Станд.норм.распр.'!F91</f>
        <v>970.15270870790118</v>
      </c>
      <c r="K91">
        <f>$E91+'Станд.норм.распр.'!G91</f>
        <v>968.69161001697648</v>
      </c>
      <c r="L91">
        <f>$E91+'Станд.норм.распр.'!H91</f>
        <v>969.33233766569174</v>
      </c>
      <c r="M91">
        <f>$E91+'Станд.норм.распр.'!I91</f>
        <v>970.72658167482587</v>
      </c>
      <c r="N91">
        <f>$E91+'Станд.норм.распр.'!J91</f>
        <v>970.20018660507048</v>
      </c>
      <c r="O91">
        <f>$E91+'Станд.норм.распр.'!K91</f>
        <v>969.87455794325797</v>
      </c>
      <c r="P91" s="4" t="s">
        <v>317</v>
      </c>
      <c r="Q91" s="4" t="s">
        <v>5</v>
      </c>
      <c r="R91" s="2">
        <f>$B$3 + $B$4*F91 + ('Станд.норм.распр.'!B92 * $B$5)</f>
        <v>10662.441953771835</v>
      </c>
      <c r="S91" s="2">
        <f>$B$3 + $B$4*G91 + ('Станд.норм.распр.'!C92 * $B$5)</f>
        <v>10661.147385834542</v>
      </c>
      <c r="T91" s="2">
        <f>$B$3 + $B$4*H91 + ('Станд.норм.распр.'!D92 * $B$5)</f>
        <v>10668.286026801783</v>
      </c>
      <c r="U91" s="2">
        <f>$B$3 + $B$4*I91 + ('Станд.норм.распр.'!E92 * $B$5)</f>
        <v>10679.395439782442</v>
      </c>
      <c r="V91" s="2">
        <f>$B$3 + $B$4*J91 + ('Станд.норм.распр.'!F92 * $B$5)</f>
        <v>10688.125823807044</v>
      </c>
      <c r="W91" s="2">
        <f>$B$3 + $B$4*K91 + ('Станд.норм.распр.'!G92 * $B$5)</f>
        <v>10682.070061337785</v>
      </c>
      <c r="X91" s="2">
        <f>$B$3 + $B$4*L91 + ('Станд.норм.распр.'!H92 * $B$5)</f>
        <v>10687.124900695169</v>
      </c>
      <c r="Y91" s="2">
        <f>$B$3 + $B$4*M91 + ('Станд.норм.распр.'!I92 * $B$5)</f>
        <v>10701.965062397707</v>
      </c>
      <c r="Z91" s="2">
        <f>$B$3 + $B$4*N91 + ('Станд.норм.распр.'!J92 * $B$5)</f>
        <v>10689.293343929254</v>
      </c>
      <c r="AA91" s="2">
        <f>$B$3 + $B$4*O91 + ('Станд.норм.распр.'!K92 * $B$5)</f>
        <v>10681.261086264189</v>
      </c>
    </row>
    <row r="92" spans="3:27" x14ac:dyDescent="0.3">
      <c r="C92" s="4" t="s">
        <v>100</v>
      </c>
      <c r="D92" s="4" t="s">
        <v>5</v>
      </c>
      <c r="E92" s="4">
        <v>362</v>
      </c>
      <c r="F92">
        <f>$E92+'Станд.норм.распр.'!B92</f>
        <v>360.09535438544117</v>
      </c>
      <c r="G92">
        <f>$E92+'Станд.норм.распр.'!C92</f>
        <v>360.10326698934659</v>
      </c>
      <c r="H92">
        <f>$E92+'Станд.норм.распр.'!D92</f>
        <v>360.57697275729151</v>
      </c>
      <c r="I92">
        <f>$E92+'Станд.норм.распр.'!E92</f>
        <v>362.51775032261503</v>
      </c>
      <c r="J92">
        <f>$E92+'Станд.норм.распр.'!F92</f>
        <v>362.27178089112567</v>
      </c>
      <c r="K92">
        <f>$E92+'Станд.норм.распр.'!G92</f>
        <v>363.38470568344928</v>
      </c>
      <c r="L92">
        <f>$E92+'Станд.норм.распр.'!H92</f>
        <v>363.16324293028447</v>
      </c>
      <c r="M92">
        <f>$E92+'Станд.норм.распр.'!I92</f>
        <v>363.10807377495803</v>
      </c>
      <c r="N92">
        <f>$E92+'Станд.норм.распр.'!J92</f>
        <v>362.34347680816427</v>
      </c>
      <c r="O92">
        <f>$E92+'Станд.норм.распр.'!K92</f>
        <v>361.84899432092789</v>
      </c>
      <c r="P92" s="4" t="s">
        <v>318</v>
      </c>
      <c r="Q92" s="4" t="s">
        <v>5</v>
      </c>
      <c r="R92" s="2">
        <f>$B$3 + $B$4*F92 + ('Станд.норм.распр.'!B93 * $B$5)</f>
        <v>3996.8583810995333</v>
      </c>
      <c r="S92" s="2">
        <f>$B$3 + $B$4*G92 + ('Станд.норм.распр.'!C93 * $B$5)</f>
        <v>3986.5761706031626</v>
      </c>
      <c r="T92" s="2">
        <f>$B$3 + $B$4*H92 + ('Станд.норм.распр.'!D93 * $B$5)</f>
        <v>3965.4363228627626</v>
      </c>
      <c r="U92" s="2">
        <f>$B$3 + $B$4*I92 + ('Станд.норм.распр.'!E93 * $B$5)</f>
        <v>4009.6386415761081</v>
      </c>
      <c r="V92" s="2">
        <f>$B$3 + $B$4*J92 + ('Станд.норм.распр.'!F93 * $B$5)</f>
        <v>3994.9733260008506</v>
      </c>
      <c r="W92" s="2">
        <f>$B$3 + $B$4*K92 + ('Станд.норм.распр.'!G93 * $B$5)</f>
        <v>4025.1332798951771</v>
      </c>
      <c r="X92" s="2">
        <f>$B$3 + $B$4*L92 + ('Станд.норм.распр.'!H93 * $B$5)</f>
        <v>3995.5752254158433</v>
      </c>
      <c r="Y92" s="2">
        <f>$B$3 + $B$4*M92 + ('Станд.норм.распр.'!I93 * $B$5)</f>
        <v>4019.7120795190858</v>
      </c>
      <c r="Z92" s="2">
        <f>$B$3 + $B$4*N92 + ('Станд.норм.распр.'!J93 * $B$5)</f>
        <v>3995.670498426829</v>
      </c>
      <c r="AA92" s="2">
        <f>$B$3 + $B$4*O92 + ('Станд.норм.распр.'!K93 * $B$5)</f>
        <v>4005.8070017884311</v>
      </c>
    </row>
    <row r="93" spans="3:27" x14ac:dyDescent="0.3">
      <c r="C93" s="4" t="s">
        <v>101</v>
      </c>
      <c r="D93" s="4" t="s">
        <v>5</v>
      </c>
      <c r="E93" s="4">
        <v>836</v>
      </c>
      <c r="F93">
        <f>$E93+'Станд.норм.распр.'!B93</f>
        <v>838.42327587329783</v>
      </c>
      <c r="G93">
        <f>$E93+'Станд.норм.распр.'!C93</f>
        <v>837.2711370800389</v>
      </c>
      <c r="H93">
        <f>$E93+'Станд.норм.распр.'!D93</f>
        <v>834.34329139250622</v>
      </c>
      <c r="I93">
        <f>$E93+'Станд.норм.распр.'!E93</f>
        <v>836.88259866970475</v>
      </c>
      <c r="J93">
        <f>$E93+'Станд.норм.распр.'!F93</f>
        <v>835.55374846649647</v>
      </c>
      <c r="K93">
        <f>$E93+'Станд.норм.распр.'!G93</f>
        <v>837.544613041915</v>
      </c>
      <c r="L93">
        <f>$E93+'Станд.норм.распр.'!H93</f>
        <v>834.53106146474602</v>
      </c>
      <c r="M93">
        <f>$E93+'Станд.норм.распр.'!I93</f>
        <v>837.28036311050528</v>
      </c>
      <c r="N93">
        <f>$E93+'Станд.норм.распр.'!J93</f>
        <v>835.54358372633578</v>
      </c>
      <c r="O93">
        <f>$E93+'Станд.норм.распр.'!K93</f>
        <v>837.27422936202493</v>
      </c>
      <c r="P93" s="4" t="s">
        <v>319</v>
      </c>
      <c r="Q93" s="4" t="s">
        <v>5</v>
      </c>
      <c r="R93" s="2">
        <f>$B$3 + $B$4*F93 + ('Станд.норм.распр.'!B94 * $B$5)</f>
        <v>9244.6534261552733</v>
      </c>
      <c r="S93" s="2">
        <f>$B$3 + $B$4*G93 + ('Станд.норм.распр.'!C94 * $B$5)</f>
        <v>9233.1841636377794</v>
      </c>
      <c r="T93" s="2">
        <f>$B$3 + $B$4*H93 + ('Станд.норм.распр.'!D94 * $B$5)</f>
        <v>9175.9172669403051</v>
      </c>
      <c r="U93" s="2">
        <f>$B$3 + $B$4*I93 + ('Станд.норм.распр.'!E94 * $B$5)</f>
        <v>9226.2334754350013</v>
      </c>
      <c r="V93" s="2">
        <f>$B$3 + $B$4*J93 + ('Станд.норм.распр.'!F94 * $B$5)</f>
        <v>9213.3379535580025</v>
      </c>
      <c r="W93" s="2">
        <f>$B$3 + $B$4*K93 + ('Станд.норм.распр.'!G94 * $B$5)</f>
        <v>9227.4146680365084</v>
      </c>
      <c r="X93" s="2">
        <f>$B$3 + $B$4*L93 + ('Станд.норм.распр.'!H94 * $B$5)</f>
        <v>9196.1842707105097</v>
      </c>
      <c r="Y93" s="2">
        <f>$B$3 + $B$4*M93 + ('Станд.норм.распр.'!I94 * $B$5)</f>
        <v>9229.700247917659</v>
      </c>
      <c r="Z93" s="2">
        <f>$B$3 + $B$4*N93 + ('Станд.норм.распр.'!J94 * $B$5)</f>
        <v>9176.3447442799225</v>
      </c>
      <c r="AA93" s="2">
        <f>$B$3 + $B$4*O93 + ('Станд.норм.распр.'!K94 * $B$5)</f>
        <v>9228.2299845619127</v>
      </c>
    </row>
    <row r="94" spans="3:27" x14ac:dyDescent="0.3">
      <c r="C94" s="4" t="s">
        <v>102</v>
      </c>
      <c r="D94" s="4" t="s">
        <v>5</v>
      </c>
      <c r="E94" s="4">
        <v>66</v>
      </c>
      <c r="F94">
        <f>$E94+'Станд.норм.распр.'!B94</f>
        <v>66.888599060999695</v>
      </c>
      <c r="G94">
        <f>$E94+'Станд.норм.распр.'!C94</f>
        <v>67.022406195261283</v>
      </c>
      <c r="H94">
        <f>$E94+'Станд.норм.распр.'!D94</f>
        <v>64.237895735859638</v>
      </c>
      <c r="I94">
        <f>$E94+'Станд.норм.распр.'!E94</f>
        <v>66.724987785361009</v>
      </c>
      <c r="J94">
        <f>$E94+'Станд.норм.распр.'!F94</f>
        <v>66.916302269615699</v>
      </c>
      <c r="K94">
        <f>$E94+'Станд.норм.распр.'!G94</f>
        <v>66.04710273060482</v>
      </c>
      <c r="L94">
        <f>$E94+'Станд.норм.распр.'!H94</f>
        <v>66.260288288700394</v>
      </c>
      <c r="M94">
        <f>$E94+'Станд.норм.распр.'!I94</f>
        <v>66.624028189122328</v>
      </c>
      <c r="N94">
        <f>$E94+'Станд.норм.распр.'!J94</f>
        <v>62.818369254469872</v>
      </c>
      <c r="O94">
        <f>$E94+'Станд.норм.распр.'!K94</f>
        <v>66.468162397737615</v>
      </c>
      <c r="P94" s="4" t="s">
        <v>320</v>
      </c>
      <c r="Q94" s="4" t="s">
        <v>5</v>
      </c>
      <c r="R94" s="2">
        <f>$B$3 + $B$4*F94 + ('Станд.норм.распр.'!B95 * $B$5)</f>
        <v>748.07113565315376</v>
      </c>
      <c r="S94" s="2">
        <f>$B$3 + $B$4*G94 + ('Станд.норм.распр.'!C95 * $B$5)</f>
        <v>754.68060304432584</v>
      </c>
      <c r="T94" s="2">
        <f>$B$3 + $B$4*H94 + ('Станд.норм.распр.'!D95 * $B$5)</f>
        <v>728.19772790235584</v>
      </c>
      <c r="U94" s="2">
        <f>$B$3 + $B$4*I94 + ('Станд.норм.распр.'!E95 * $B$5)</f>
        <v>739.25799329503207</v>
      </c>
      <c r="V94" s="2">
        <f>$B$3 + $B$4*J94 + ('Станд.норм.распр.'!F95 * $B$5)</f>
        <v>741.76425601239316</v>
      </c>
      <c r="W94" s="2">
        <f>$B$3 + $B$4*K94 + ('Станд.норм.распр.'!G95 * $B$5)</f>
        <v>723.18666257546283</v>
      </c>
      <c r="X94" s="2">
        <f>$B$3 + $B$4*L94 + ('Станд.норм.распр.'!H95 * $B$5)</f>
        <v>735.61198592346045</v>
      </c>
      <c r="Y94" s="2">
        <f>$B$3 + $B$4*M94 + ('Станд.норм.распр.'!I95 * $B$5)</f>
        <v>742.94743813356035</v>
      </c>
      <c r="Z94" s="2">
        <f>$B$3 + $B$4*N94 + ('Станд.норм.распр.'!J95 * $B$5)</f>
        <v>700.34938931188663</v>
      </c>
      <c r="AA94" s="2">
        <f>$B$3 + $B$4*O94 + ('Станд.норм.распр.'!K95 * $B$5)</f>
        <v>737.76071003905963</v>
      </c>
    </row>
    <row r="95" spans="3:27" x14ac:dyDescent="0.3">
      <c r="C95" s="4" t="s">
        <v>103</v>
      </c>
      <c r="D95" s="4" t="s">
        <v>5</v>
      </c>
      <c r="E95" s="4">
        <v>590</v>
      </c>
      <c r="F95">
        <f>$E95+'Станд.норм.распр.'!B95</f>
        <v>589.81072733135079</v>
      </c>
      <c r="G95">
        <f>$E95+'Станд.норм.распр.'!C95</f>
        <v>590.38157054405019</v>
      </c>
      <c r="H95">
        <f>$E95+'Станд.норм.распр.'!D95</f>
        <v>590.84231942309998</v>
      </c>
      <c r="I95">
        <f>$E95+'Станд.норм.распр.'!E95</f>
        <v>589.03145862845122</v>
      </c>
      <c r="J95">
        <f>$E95+'Станд.норм.распр.'!F95</f>
        <v>589.0761034496245</v>
      </c>
      <c r="K95">
        <f>$E95+'Станд.норм.распр.'!G95</f>
        <v>588.07428139320109</v>
      </c>
      <c r="L95">
        <f>$E95+'Станд.норм.распр.'!H95</f>
        <v>589.19431274975068</v>
      </c>
      <c r="M95">
        <f>$E95+'Станд.норм.распр.'!I95</f>
        <v>589.56479200591275</v>
      </c>
      <c r="N95">
        <f>$E95+'Станд.норм.распр.'!J95</f>
        <v>589.483036390302</v>
      </c>
      <c r="O95">
        <f>$E95+'Станд.норм.распр.'!K95</f>
        <v>589.17899151821621</v>
      </c>
      <c r="P95" s="4" t="s">
        <v>321</v>
      </c>
      <c r="Q95" s="4" t="s">
        <v>5</v>
      </c>
      <c r="R95" s="2">
        <f>$B$3 + $B$4*F95 + ('Станд.норм.распр.'!B96 * $B$5)</f>
        <v>6495.4458248895244</v>
      </c>
      <c r="S95" s="2">
        <f>$B$3 + $B$4*G95 + ('Станд.норм.распр.'!C96 * $B$5)</f>
        <v>6517.6235610170843</v>
      </c>
      <c r="T95" s="2">
        <f>$B$3 + $B$4*H95 + ('Станд.норм.распр.'!D96 * $B$5)</f>
        <v>6495.8144638741214</v>
      </c>
      <c r="U95" s="2">
        <f>$B$3 + $B$4*I95 + ('Станд.норм.распр.'!E96 * $B$5)</f>
        <v>6486.4696101313748</v>
      </c>
      <c r="V95" s="2">
        <f>$B$3 + $B$4*J95 + ('Станд.норм.распр.'!F96 * $B$5)</f>
        <v>6498.6820969398686</v>
      </c>
      <c r="W95" s="2">
        <f>$B$3 + $B$4*K95 + ('Станд.норм.распр.'!G96 * $B$5)</f>
        <v>6487.5897870070767</v>
      </c>
      <c r="X95" s="2">
        <f>$B$3 + $B$4*L95 + ('Станд.норм.распр.'!H96 * $B$5)</f>
        <v>6488.1962892332958</v>
      </c>
      <c r="Y95" s="2">
        <f>$B$3 + $B$4*M95 + ('Станд.норм.распр.'!I96 * $B$5)</f>
        <v>6481.4289983633935</v>
      </c>
      <c r="Z95" s="2">
        <f>$B$3 + $B$4*N95 + ('Станд.норм.распр.'!J96 * $B$5)</f>
        <v>6506.1164896679693</v>
      </c>
      <c r="AA95" s="2">
        <f>$B$3 + $B$4*O95 + ('Станд.норм.распр.'!K96 * $B$5)</f>
        <v>6504.7753446020943</v>
      </c>
    </row>
    <row r="96" spans="3:27" x14ac:dyDescent="0.3">
      <c r="C96" s="4" t="s">
        <v>104</v>
      </c>
      <c r="D96" s="4" t="s">
        <v>5</v>
      </c>
      <c r="E96" s="4">
        <v>852</v>
      </c>
      <c r="F96">
        <f>$E96+'Станд.норм.распр.'!B96</f>
        <v>851.28086936051841</v>
      </c>
      <c r="G96">
        <f>$E96+'Станд.норм.распр.'!C96</f>
        <v>853.04736500361469</v>
      </c>
      <c r="H96">
        <f>$E96+'Станд.норм.распр.'!D96</f>
        <v>850.06099446889129</v>
      </c>
      <c r="I96">
        <f>$E96+'Станд.норм.распр.'!E96</f>
        <v>851.2359516909346</v>
      </c>
      <c r="J96">
        <f>$E96+'Станд.норм.распр.'!F96</f>
        <v>852.53832877711102</v>
      </c>
      <c r="K96">
        <f>$E96+'Станд.норм.распр.'!G96</f>
        <v>852.53029907576274</v>
      </c>
      <c r="L96">
        <f>$E96+'Станд.норм.распр.'!H96</f>
        <v>851.22876099844871</v>
      </c>
      <c r="M96">
        <f>$E96+'Станд.норм.распр.'!I96</f>
        <v>850.02403181092814</v>
      </c>
      <c r="N96">
        <f>$E96+'Станд.норм.распр.'!J96</f>
        <v>852.86700993051636</v>
      </c>
      <c r="O96">
        <f>$E96+'Станд.норм.распр.'!K96</f>
        <v>853.08960421130178</v>
      </c>
      <c r="P96" s="4" t="s">
        <v>322</v>
      </c>
      <c r="Q96" s="4" t="s">
        <v>5</v>
      </c>
      <c r="R96" s="2">
        <f>$B$3 + $B$4*F96 + ('Станд.норм.распр.'!B97 * $B$5)</f>
        <v>9384.3005204740039</v>
      </c>
      <c r="S96" s="2">
        <f>$B$3 + $B$4*G96 + ('Станд.норм.распр.'!C97 * $B$5)</f>
        <v>9391.5884038374643</v>
      </c>
      <c r="T96" s="2">
        <f>$B$3 + $B$4*H96 + ('Станд.норм.распр.'!D97 * $B$5)</f>
        <v>9367.1756057119637</v>
      </c>
      <c r="U96" s="2">
        <f>$B$3 + $B$4*I96 + ('Станд.норм.распр.'!E97 * $B$5)</f>
        <v>9380.5747276797192</v>
      </c>
      <c r="V96" s="2">
        <f>$B$3 + $B$4*J96 + ('Станд.норм.распр.'!F97 * $B$5)</f>
        <v>9392.1416108110279</v>
      </c>
      <c r="W96" s="2">
        <f>$B$3 + $B$4*K96 + ('Станд.норм.распр.'!G97 * $B$5)</f>
        <v>9397.7129513910186</v>
      </c>
      <c r="X96" s="2">
        <f>$B$3 + $B$4*L96 + ('Станд.норм.распр.'!H97 * $B$5)</f>
        <v>9387.6211276943068</v>
      </c>
      <c r="Y96" s="2">
        <f>$B$3 + $B$4*M96 + ('Станд.норм.распр.'!I97 * $B$5)</f>
        <v>9372.4047822484281</v>
      </c>
      <c r="Z96" s="2">
        <f>$B$3 + $B$4*N96 + ('Станд.норм.распр.'!J97 * $B$5)</f>
        <v>9391.9819626585522</v>
      </c>
      <c r="AA96" s="2">
        <f>$B$3 + $B$4*O96 + ('Станд.норм.распр.'!K97 * $B$5)</f>
        <v>9391.9353283177188</v>
      </c>
    </row>
    <row r="97" spans="3:27" x14ac:dyDescent="0.3">
      <c r="C97" s="4" t="s">
        <v>105</v>
      </c>
      <c r="D97" s="4" t="s">
        <v>5</v>
      </c>
      <c r="E97" s="4">
        <v>963</v>
      </c>
      <c r="F97">
        <f>$E97+'Станд.норм.распр.'!B97</f>
        <v>963.69010638981126</v>
      </c>
      <c r="G97">
        <f>$E97+'Станд.норм.распр.'!C97</f>
        <v>962.34082097752253</v>
      </c>
      <c r="H97">
        <f>$E97+'Станд.норм.распр.'!D97</f>
        <v>963.2782962837955</v>
      </c>
      <c r="I97">
        <f>$E97+'Станд.норм.распр.'!E97</f>
        <v>963.33102878660429</v>
      </c>
      <c r="J97">
        <f>$E97+'Станд.норм.распр.'!F97</f>
        <v>963.02444380697852</v>
      </c>
      <c r="K97">
        <f>$E97+'Станд.норм.распр.'!G97</f>
        <v>963.65329572862538</v>
      </c>
      <c r="L97">
        <f>$E97+'Станд.норм.распр.'!H97</f>
        <v>964.12275074570789</v>
      </c>
      <c r="M97">
        <f>$E97+'Станд.норм.распр.'!I97</f>
        <v>963.90449248091318</v>
      </c>
      <c r="N97">
        <f>$E97+'Станд.норм.распр.'!J97</f>
        <v>962.60498371365247</v>
      </c>
      <c r="O97">
        <f>$E97+'Станд.норм.распр.'!K97</f>
        <v>962.32774244371103</v>
      </c>
      <c r="P97" s="4" t="s">
        <v>323</v>
      </c>
      <c r="Q97" s="4" t="s">
        <v>5</v>
      </c>
      <c r="R97" s="2">
        <f>$B$3 + $B$4*F97 + ('Станд.норм.распр.'!B98 * $B$5)</f>
        <v>10605.619894086005</v>
      </c>
      <c r="S97" s="2">
        <f>$B$3 + $B$4*G97 + ('Станд.норм.распр.'!C98 * $B$5)</f>
        <v>10617.455801202625</v>
      </c>
      <c r="T97" s="2">
        <f>$B$3 + $B$4*H97 + ('Станд.норм.распр.'!D98 * $B$5)</f>
        <v>10610.380440602996</v>
      </c>
      <c r="U97" s="2">
        <f>$B$3 + $B$4*I97 + ('Станд.норм.распр.'!E98 * $B$5)</f>
        <v>10609.691531017248</v>
      </c>
      <c r="V97" s="2">
        <f>$B$3 + $B$4*J97 + ('Станд.норм.распр.'!F98 * $B$5)</f>
        <v>10608.92249362955</v>
      </c>
      <c r="W97" s="2">
        <f>$B$3 + $B$4*K97 + ('Станд.норм.распр.'!G98 * $B$5)</f>
        <v>10627.137234741924</v>
      </c>
      <c r="X97" s="2">
        <f>$B$3 + $B$4*L97 + ('Станд.норм.распр.'!H98 * $B$5)</f>
        <v>10628.805192318425</v>
      </c>
      <c r="Y97" s="2">
        <f>$B$3 + $B$4*M97 + ('Станд.норм.распр.'!I98 * $B$5)</f>
        <v>10613.206660145835</v>
      </c>
      <c r="Z97" s="2">
        <f>$B$3 + $B$4*N97 + ('Станд.норм.распр.'!J98 * $B$5)</f>
        <v>10595.767315244331</v>
      </c>
      <c r="AA97" s="2">
        <f>$B$3 + $B$4*O97 + ('Станд.норм.распр.'!K98 * $B$5)</f>
        <v>10595.936590398225</v>
      </c>
    </row>
    <row r="98" spans="3:27" x14ac:dyDescent="0.3">
      <c r="C98" s="4" t="s">
        <v>106</v>
      </c>
      <c r="D98" s="4" t="s">
        <v>5</v>
      </c>
      <c r="E98" s="4">
        <v>802</v>
      </c>
      <c r="F98">
        <f>$E98+'Станд.норм.распр.'!B98</f>
        <v>801.00319153312012</v>
      </c>
      <c r="G98">
        <f>$E98+'Станд.норм.распр.'!C98</f>
        <v>803.9674189388752</v>
      </c>
      <c r="H98">
        <f>$E98+'Станд.норм.распр.'!D98</f>
        <v>802.03546460902726</v>
      </c>
      <c r="I98">
        <f>$E98+'Станд.норм.распр.'!E98</f>
        <v>801.89446826273343</v>
      </c>
      <c r="J98">
        <f>$E98+'Станд.норм.распр.'!F98</f>
        <v>802.18373463919852</v>
      </c>
      <c r="K98">
        <f>$E98+'Станд.норм.распр.'!G98</f>
        <v>803.43899796967162</v>
      </c>
      <c r="L98">
        <f>$E98+'Станд.норм.распр.'!H98</f>
        <v>803.05054823507089</v>
      </c>
      <c r="M98">
        <f>$E98+'Станд.норм.распр.'!I98</f>
        <v>801.58413809508784</v>
      </c>
      <c r="N98">
        <f>$E98+'Станд.норм.распр.'!J98</f>
        <v>801.23472159935045</v>
      </c>
      <c r="O98">
        <f>$E98+'Станд.норм.распр.'!K98</f>
        <v>801.59238039082265</v>
      </c>
      <c r="P98" s="4" t="s">
        <v>324</v>
      </c>
      <c r="Q98" s="4" t="s">
        <v>5</v>
      </c>
      <c r="R98" s="2">
        <f>$B$3 + $B$4*F98 + ('Станд.норм.распр.'!B99 * $B$5)</f>
        <v>8813.9342010697292</v>
      </c>
      <c r="S98" s="2">
        <f>$B$3 + $B$4*G98 + ('Станд.норм.распр.'!C99 * $B$5)</f>
        <v>8860.4006480443204</v>
      </c>
      <c r="T98" s="2">
        <f>$B$3 + $B$4*H98 + ('Станд.норм.распр.'!D99 * $B$5)</f>
        <v>8817.604988761319</v>
      </c>
      <c r="U98" s="2">
        <f>$B$3 + $B$4*I98 + ('Станд.норм.распр.'!E99 * $B$5)</f>
        <v>8836.7167606377479</v>
      </c>
      <c r="V98" s="2">
        <f>$B$3 + $B$4*J98 + ('Станд.норм.распр.'!F99 * $B$5)</f>
        <v>8824.8147950464045</v>
      </c>
      <c r="W98" s="2">
        <f>$B$3 + $B$4*K98 + ('Станд.норм.распр.'!G99 * $B$5)</f>
        <v>8850.7901619129698</v>
      </c>
      <c r="X98" s="2">
        <f>$B$3 + $B$4*L98 + ('Станд.норм.распр.'!H99 * $B$5)</f>
        <v>8852.3763411364926</v>
      </c>
      <c r="Y98" s="2">
        <f>$B$3 + $B$4*M98 + ('Станд.норм.распр.'!I99 * $B$5)</f>
        <v>8815.4522636875627</v>
      </c>
      <c r="Z98" s="2">
        <f>$B$3 + $B$4*N98 + ('Станд.норм.распр.'!J99 * $B$5)</f>
        <v>8831.249009998588</v>
      </c>
      <c r="AA98" s="2">
        <f>$B$3 + $B$4*O98 + ('Станд.норм.распр.'!K99 * $B$5)</f>
        <v>8823.2673561185366</v>
      </c>
    </row>
    <row r="99" spans="3:27" x14ac:dyDescent="0.3">
      <c r="C99" s="4" t="s">
        <v>107</v>
      </c>
      <c r="D99" s="4" t="s">
        <v>5</v>
      </c>
      <c r="E99" s="4">
        <v>686</v>
      </c>
      <c r="F99">
        <f>$E99+'Станд.норм.распр.'!B99</f>
        <v>684.7665660228231</v>
      </c>
      <c r="G99">
        <f>$E99+'Станд.норм.распр.'!C99</f>
        <v>686.30655996852147</v>
      </c>
      <c r="H99">
        <f>$E99+'Станд.норм.распр.'!D99</f>
        <v>683.91276422911324</v>
      </c>
      <c r="I99">
        <f>$E99+'Станд.норм.распр.'!E99</f>
        <v>686.20862330529781</v>
      </c>
      <c r="J99">
        <f>$E99+'Станд.норм.распр.'!F99</f>
        <v>684.53263489058008</v>
      </c>
      <c r="K99">
        <f>$E99+'Станд.норм.распр.'!G99</f>
        <v>685.884576027398</v>
      </c>
      <c r="L99">
        <f>$E99+'Станд.норм.распр.'!H99</f>
        <v>686.53559006119031</v>
      </c>
      <c r="M99">
        <f>$E99+'Станд.норм.распр.'!I99</f>
        <v>684.22519384906627</v>
      </c>
      <c r="N99">
        <f>$E99+'Станд.норм.распр.'!J99</f>
        <v>686.40745248952589</v>
      </c>
      <c r="O99">
        <f>$E99+'Станд.норм.распр.'!K99</f>
        <v>685.08346353549859</v>
      </c>
      <c r="P99" s="4" t="s">
        <v>325</v>
      </c>
      <c r="Q99" s="4" t="s">
        <v>5</v>
      </c>
      <c r="R99" s="2">
        <f>$B$3 + $B$4*F99 + ('Станд.норм.распр.'!B100 * $B$5)</f>
        <v>7536.4391805001651</v>
      </c>
      <c r="S99" s="2">
        <f>$B$3 + $B$4*G99 + ('Станд.норм.распр.'!C100 * $B$5)</f>
        <v>7589.0476316422428</v>
      </c>
      <c r="T99" s="2">
        <f>$B$3 + $B$4*H99 + ('Станд.норм.распр.'!D100 * $B$5)</f>
        <v>7544.3872592464322</v>
      </c>
      <c r="U99" s="2">
        <f>$B$3 + $B$4*I99 + ('Станд.норм.распр.'!E100 * $B$5)</f>
        <v>7560.576688989895</v>
      </c>
      <c r="V99" s="2">
        <f>$B$3 + $B$4*J99 + ('Станд.норм.распр.'!F100 * $B$5)</f>
        <v>7531.8056596975657</v>
      </c>
      <c r="W99" s="2">
        <f>$B$3 + $B$4*K99 + ('Станд.норм.распр.'!G100 * $B$5)</f>
        <v>7550.3070556683815</v>
      </c>
      <c r="X99" s="2">
        <f>$B$3 + $B$4*L99 + ('Станд.норм.распр.'!H100 * $B$5)</f>
        <v>7564.9461834805697</v>
      </c>
      <c r="Y99" s="2">
        <f>$B$3 + $B$4*M99 + ('Станд.норм.распр.'!I100 * $B$5)</f>
        <v>7546.5205541027535</v>
      </c>
      <c r="Z99" s="2">
        <f>$B$3 + $B$4*N99 + ('Станд.норм.распр.'!J100 * $B$5)</f>
        <v>7547.2376849907596</v>
      </c>
      <c r="AA99" s="2">
        <f>$B$3 + $B$4*O99 + ('Станд.норм.распр.'!K100 * $B$5)</f>
        <v>7541.8694868736202</v>
      </c>
    </row>
    <row r="100" spans="3:27" x14ac:dyDescent="0.3">
      <c r="C100" s="4" t="s">
        <v>108</v>
      </c>
      <c r="D100" s="4" t="s">
        <v>5</v>
      </c>
      <c r="E100" s="4">
        <v>256</v>
      </c>
      <c r="F100">
        <f>$E100+'Станд.норм.распр.'!B100</f>
        <v>254.88966158323456</v>
      </c>
      <c r="G100">
        <f>$E100+'Станд.норм.распр.'!C100</f>
        <v>258.85283022094518</v>
      </c>
      <c r="H100">
        <f>$E100+'Станд.норм.распр.'!D100</f>
        <v>256.81631696957629</v>
      </c>
      <c r="I100">
        <f>$E100+'Станд.норм.распр.'!E100</f>
        <v>255.80909251462435</v>
      </c>
      <c r="J100">
        <f>$E100+'Станд.норм.распр.'!F100</f>
        <v>254.66074176679831</v>
      </c>
      <c r="K100">
        <f>$E100+'Станд.норм.распр.'!G100</f>
        <v>255.06407992966706</v>
      </c>
      <c r="L100">
        <f>$E100+'Станд.норм.распр.'!H100</f>
        <v>255.89496586749738</v>
      </c>
      <c r="M100">
        <f>$E100+'Станд.норм.распр.'!I100</f>
        <v>256.67149130700273</v>
      </c>
      <c r="N100">
        <f>$E100+'Станд.норм.распр.'!J100</f>
        <v>254.08396751177497</v>
      </c>
      <c r="O100">
        <f>$E100+'Станд.норм.распр.'!K100</f>
        <v>255.10570977590396</v>
      </c>
      <c r="P100" s="4" t="s">
        <v>326</v>
      </c>
      <c r="Q100" s="4" t="s">
        <v>5</v>
      </c>
      <c r="R100" s="2">
        <f>$B$3 + $B$4*F100 + ('Станд.норм.распр.'!B101 * $B$5)</f>
        <v>2827.477607394103</v>
      </c>
      <c r="S100" s="2">
        <f>$B$3 + $B$4*G100 + ('Станд.норм.распр.'!C101 * $B$5)</f>
        <v>2854.8077844844374</v>
      </c>
      <c r="T100" s="2">
        <f>$B$3 + $B$4*H100 + ('Станд.норм.распр.'!D101 * $B$5)</f>
        <v>2824.8673442759318</v>
      </c>
      <c r="U100" s="2">
        <f>$B$3 + $B$4*I100 + ('Станд.норм.распр.'!E101 * $B$5)</f>
        <v>2830.6381333150784</v>
      </c>
      <c r="V100" s="2">
        <f>$B$3 + $B$4*J100 + ('Станд.норм.распр.'!F101 * $B$5)</f>
        <v>2809.4912355355336</v>
      </c>
      <c r="W100" s="2">
        <f>$B$3 + $B$4*K100 + ('Станд.норм.распр.'!G101 * $B$5)</f>
        <v>2825.8401765070739</v>
      </c>
      <c r="X100" s="2">
        <f>$B$3 + $B$4*L100 + ('Станд.норм.распр.'!H101 * $B$5)</f>
        <v>2831.9215156044083</v>
      </c>
      <c r="Y100" s="2">
        <f>$B$3 + $B$4*M100 + ('Станд.норм.распр.'!I101 * $B$5)</f>
        <v>2848.2567259798816</v>
      </c>
      <c r="Z100" s="2">
        <f>$B$3 + $B$4*N100 + ('Станд.норм.распр.'!J101 * $B$5)</f>
        <v>2816.0413231544953</v>
      </c>
      <c r="AA100" s="2">
        <f>$B$3 + $B$4*O100 + ('Станд.норм.распр.'!K101 * $B$5)</f>
        <v>2821.2917860456218</v>
      </c>
    </row>
    <row r="101" spans="3:27" x14ac:dyDescent="0.3">
      <c r="C101" s="4" t="s">
        <v>109</v>
      </c>
      <c r="D101" s="4" t="s">
        <v>5</v>
      </c>
      <c r="E101" s="4">
        <v>240</v>
      </c>
      <c r="F101">
        <f>$E101+'Станд.норм.распр.'!B101</f>
        <v>241.07681444205809</v>
      </c>
      <c r="G101">
        <f>$E101+'Станд.норм.распр.'!C101</f>
        <v>239.2696280060045</v>
      </c>
      <c r="H101">
        <f>$E101+'Станд.норм.распр.'!D101</f>
        <v>238.43198417895474</v>
      </c>
      <c r="I101">
        <f>$E101+'Станд.норм.распр.'!E101</f>
        <v>240.30423507269006</v>
      </c>
      <c r="J101">
        <f>$E101+'Станд.норм.распр.'!F101</f>
        <v>239.35811956675025</v>
      </c>
      <c r="K101">
        <f>$E101+'Станд.норм.распр.'!G101</f>
        <v>240.68169969785959</v>
      </c>
      <c r="L101">
        <f>$E101+'Станд.норм.распр.'!H101</f>
        <v>240.34187678465969</v>
      </c>
      <c r="M101">
        <f>$E101+'Станд.норм.распр.'!I101</f>
        <v>241.20781351142796</v>
      </c>
      <c r="N101">
        <f>$E101+'Станд.норм.распр.'!J101</f>
        <v>240.7908533916634</v>
      </c>
      <c r="O101">
        <f>$E101+'Станд.норм.распр.'!K101</f>
        <v>240.12544205674203</v>
      </c>
      <c r="P101" s="4" t="s">
        <v>327</v>
      </c>
      <c r="Q101" s="4" t="s">
        <v>5</v>
      </c>
      <c r="R101" s="2">
        <f>$B$3 + $B$4*F101 + ('Станд.норм.распр.'!B102 * $B$5)</f>
        <v>2680.7930588986392</v>
      </c>
      <c r="S101" s="2">
        <f>$B$3 + $B$4*G101 + ('Станд.норм.распр.'!C102 * $B$5)</f>
        <v>2643.9066835950493</v>
      </c>
      <c r="T101" s="2">
        <f>$B$3 + $B$4*H101 + ('Станд.норм.распр.'!D102 * $B$5)</f>
        <v>2620.4453051455021</v>
      </c>
      <c r="U101" s="2">
        <f>$B$3 + $B$4*I101 + ('Станд.норм.распр.'!E102 * $B$5)</f>
        <v>2670.4307712555906</v>
      </c>
      <c r="V101" s="2">
        <f>$B$3 + $B$4*J101 + ('Станд.норм.распр.'!F102 * $B$5)</f>
        <v>2636.8989342422528</v>
      </c>
      <c r="W101" s="2">
        <f>$B$3 + $B$4*K101 + ('Станд.норм.распр.'!G102 * $B$5)</f>
        <v>2653.0889927084554</v>
      </c>
      <c r="X101" s="2">
        <f>$B$3 + $B$4*L101 + ('Станд.норм.распр.'!H102 * $B$5)</f>
        <v>2666.4163723742568</v>
      </c>
      <c r="Y101" s="2">
        <f>$B$3 + $B$4*M101 + ('Станд.норм.распр.'!I102 * $B$5)</f>
        <v>2668.4283277247077</v>
      </c>
      <c r="Z101" s="2">
        <f>$B$3 + $B$4*N101 + ('Станд.норм.распр.'!J102 * $B$5)</f>
        <v>2647.1996953352973</v>
      </c>
      <c r="AA101" s="2">
        <f>$B$3 + $B$4*O101 + ('Станд.норм.распр.'!K102 * $B$5)</f>
        <v>2658.2842869321626</v>
      </c>
    </row>
    <row r="102" spans="3:27" x14ac:dyDescent="0.3">
      <c r="C102" s="4" t="s">
        <v>110</v>
      </c>
      <c r="D102" s="4" t="s">
        <v>5</v>
      </c>
      <c r="E102" s="4">
        <v>629</v>
      </c>
      <c r="F102">
        <f>$E102+'Станд.норм.распр.'!B102</f>
        <v>630.66090000400004</v>
      </c>
      <c r="G102">
        <f>$E102+'Станд.норм.распр.'!C102</f>
        <v>628.77119728100001</v>
      </c>
      <c r="H102">
        <f>$E102+'Станд.норм.распр.'!D102</f>
        <v>627.18816435300005</v>
      </c>
      <c r="I102">
        <f>$E102+'Станд.норм.распр.'!E102</f>
        <v>630.45379838400004</v>
      </c>
      <c r="J102">
        <f>$E102+'Станд.норм.распр.'!F102</f>
        <v>627.88440211199998</v>
      </c>
      <c r="K102">
        <f>$E102+'Станд.норм.распр.'!G102</f>
        <v>628.06558844799997</v>
      </c>
      <c r="L102">
        <f>$E102+'Станд.норм.распр.'!H102</f>
        <v>629.96174752699994</v>
      </c>
      <c r="M102">
        <f>$E102+'Станд.норм.распр.'!I102</f>
        <v>629.12693101100001</v>
      </c>
      <c r="N102">
        <f>$E102+'Станд.норм.распр.'!J102</f>
        <v>627.27781200300001</v>
      </c>
      <c r="O102">
        <f>$E102+'Станд.норм.распр.'!K102</f>
        <v>629.32271381199996</v>
      </c>
      <c r="P102" s="4" t="s">
        <v>328</v>
      </c>
      <c r="Q102" s="4" t="s">
        <v>5</v>
      </c>
      <c r="R102" s="2">
        <f>$B$3 + $B$4*F102 + ('Станд.норм.распр.'!B103 * $B$5)</f>
        <v>6951.2699000440007</v>
      </c>
      <c r="S102" s="2">
        <f>$B$3 + $B$4*G102 + ('Станд.норм.распр.'!C103 * $B$5)</f>
        <v>6930.4831700909999</v>
      </c>
      <c r="T102" s="2">
        <f>$B$3 + $B$4*H102 + ('Станд.норм.распр.'!D103 * $B$5)</f>
        <v>6913.069807883001</v>
      </c>
      <c r="U102" s="2">
        <f>$B$3 + $B$4*I102 + ('Станд.норм.распр.'!E103 * $B$5)</f>
        <v>6948.9917822240004</v>
      </c>
      <c r="V102" s="2">
        <f>$B$3 + $B$4*J102 + ('Станд.норм.распр.'!F103 * $B$5)</f>
        <v>6920.7284232319998</v>
      </c>
      <c r="W102" s="2">
        <f>$B$3 + $B$4*K102 + ('Станд.норм.распр.'!G103 * $B$5)</f>
        <v>6922.7214729279995</v>
      </c>
      <c r="X102" s="2">
        <f>$B$3 + $B$4*L102 + ('Станд.норм.распр.'!H103 * $B$5)</f>
        <v>6943.5792227969996</v>
      </c>
      <c r="Y102" s="2">
        <f>$B$3 + $B$4*M102 + ('Станд.норм.распр.'!I103 * $B$5)</f>
        <v>6934.3962411210005</v>
      </c>
      <c r="Z102" s="2">
        <f>$B$3 + $B$4*N102 + ('Станд.норм.распр.'!J103 * $B$5)</f>
        <v>6914.0559320330003</v>
      </c>
      <c r="AA102" s="2">
        <f>$B$3 + $B$4*O102 + ('Станд.норм.распр.'!K103 * $B$5)</f>
        <v>6936.5498519319999</v>
      </c>
    </row>
    <row r="104" spans="3:27" x14ac:dyDescent="0.3">
      <c r="C104" s="8" t="s">
        <v>339</v>
      </c>
      <c r="D104" s="9"/>
      <c r="E104" s="8" t="s">
        <v>340</v>
      </c>
      <c r="F104" s="17"/>
      <c r="G104" s="8" t="s">
        <v>341</v>
      </c>
      <c r="H104" s="9"/>
      <c r="I104" s="8" t="s">
        <v>342</v>
      </c>
      <c r="J104" s="9"/>
      <c r="K104" s="8" t="s">
        <v>343</v>
      </c>
      <c r="L104" s="9"/>
      <c r="M104" s="8" t="s">
        <v>344</v>
      </c>
      <c r="N104" s="9"/>
      <c r="O104" s="8" t="s">
        <v>345</v>
      </c>
      <c r="P104" s="9"/>
      <c r="Q104" s="8" t="s">
        <v>346</v>
      </c>
      <c r="R104" s="9"/>
      <c r="S104" s="8" t="s">
        <v>347</v>
      </c>
      <c r="T104" s="9"/>
      <c r="U104" s="8" t="s">
        <v>348</v>
      </c>
      <c r="V104" s="9"/>
    </row>
    <row r="105" spans="3:27" x14ac:dyDescent="0.3">
      <c r="C105" s="10" cm="1">
        <f t="array" ref="C105:D109">LINEST(R3:R102,$F$3:$F$102,1,1)</f>
        <v>10.996849635367868</v>
      </c>
      <c r="D105" s="11">
        <v>15.678556020548967</v>
      </c>
      <c r="E105" s="10" cm="1">
        <f t="array" ref="E105:F109">LINEST(S3:S102,$G$3:$G$102,1,1)</f>
        <v>10.994313337067737</v>
      </c>
      <c r="F105">
        <v>17.178515861422966</v>
      </c>
      <c r="G105" s="10" cm="1">
        <f t="array" ref="G105:H109">LINEST(T3:T102,$H$3:$H$102,1,1)</f>
        <v>10.997958258930439</v>
      </c>
      <c r="H105" s="11">
        <v>15.134963054112632</v>
      </c>
      <c r="I105" s="10" cm="1">
        <f t="array" ref="I105:J109">LINEST(U3:U102,$I$3:$I$102,1,1)</f>
        <v>11.003044761735271</v>
      </c>
      <c r="J105" s="11">
        <v>12.344224936131468</v>
      </c>
      <c r="K105" s="10" cm="1">
        <f t="array" ref="K105:L109">LINEST(V3:V102,$J$3:$J$102,1,1)</f>
        <v>10.999369489917468</v>
      </c>
      <c r="L105" s="11">
        <v>14.420044826560115</v>
      </c>
      <c r="M105" s="10" cm="1">
        <f t="array" ref="M105:N109">LINEST(W3:W102,$K$3:$K$102,1,1)</f>
        <v>11.00483042419248</v>
      </c>
      <c r="N105" s="11">
        <v>11.395824676403208</v>
      </c>
      <c r="O105" s="10" cm="1">
        <f t="array" ref="O105:P109">LINEST(X3:X102,$L$3:$L$102,1,1)</f>
        <v>11.00853208832096</v>
      </c>
      <c r="P105" s="11">
        <v>9.381409812093807</v>
      </c>
      <c r="Q105" s="10" cm="1">
        <f t="array" ref="Q105:R109">LINEST(Y3:Y102,$M$3:$M$102,1,1)</f>
        <v>11.006088774183752</v>
      </c>
      <c r="R105" s="11">
        <v>10.951715502137631</v>
      </c>
      <c r="S105" s="10" cm="1">
        <f t="array" ref="S105:T109">LINEST(Z3:Z102,$N$3:$N$102,1,1)</f>
        <v>11.001492158778795</v>
      </c>
      <c r="T105" s="11">
        <v>13.133119658792566</v>
      </c>
      <c r="U105" s="10" cm="1">
        <f t="array" ref="U105:V109">LINEST(AA3:AA102,$O$3:$O$102,1,1)</f>
        <v>10.999935841276024</v>
      </c>
      <c r="V105" s="11">
        <v>14.119330749251276</v>
      </c>
    </row>
    <row r="106" spans="3:27" x14ac:dyDescent="0.3">
      <c r="C106" s="10">
        <v>2.8649001903190488E-3</v>
      </c>
      <c r="D106" s="11">
        <v>1.7160789057348298</v>
      </c>
      <c r="E106" s="10">
        <v>3.4311878273524613E-3</v>
      </c>
      <c r="F106">
        <v>2.0552009786516594</v>
      </c>
      <c r="G106" s="10">
        <v>3.4091753775797552E-3</v>
      </c>
      <c r="H106" s="11">
        <v>2.0419222962384969</v>
      </c>
      <c r="I106" s="10">
        <v>2.9099176359589688E-3</v>
      </c>
      <c r="J106" s="11">
        <v>1.7427778927900703</v>
      </c>
      <c r="K106" s="10">
        <v>2.8279047646700079E-3</v>
      </c>
      <c r="L106" s="11">
        <v>1.6937817225184781</v>
      </c>
      <c r="M106" s="10">
        <v>3.0758670885552208E-3</v>
      </c>
      <c r="N106" s="11">
        <v>1.8421146345862898</v>
      </c>
      <c r="O106" s="10">
        <v>3.3070284036008607E-3</v>
      </c>
      <c r="P106" s="11">
        <v>1.9808630303126489</v>
      </c>
      <c r="Q106" s="10">
        <v>3.3639128602266175E-3</v>
      </c>
      <c r="R106" s="11">
        <v>2.014871335361077</v>
      </c>
      <c r="S106" s="10">
        <v>2.819132697939803E-3</v>
      </c>
      <c r="T106" s="11">
        <v>1.6886814944648425</v>
      </c>
      <c r="U106" s="10">
        <v>2.8004038519726226E-3</v>
      </c>
      <c r="V106" s="11">
        <v>1.677319585653245</v>
      </c>
    </row>
    <row r="107" spans="3:27" x14ac:dyDescent="0.3">
      <c r="C107" s="10">
        <v>0.99999334871425349</v>
      </c>
      <c r="D107" s="11">
        <v>7.8859157321465077</v>
      </c>
      <c r="E107" s="10">
        <v>0.99999045502720219</v>
      </c>
      <c r="F107">
        <v>9.4428285988091449</v>
      </c>
      <c r="G107" s="10">
        <v>0.99999058334762647</v>
      </c>
      <c r="H107" s="11">
        <v>9.3802086246879757</v>
      </c>
      <c r="I107" s="10">
        <v>0.99999314576906495</v>
      </c>
      <c r="J107" s="11">
        <v>8.0040291164474962</v>
      </c>
      <c r="K107" s="10">
        <v>0.99999352235356376</v>
      </c>
      <c r="L107" s="11">
        <v>7.7811031914534654</v>
      </c>
      <c r="M107" s="10">
        <v>0.9999923441895604</v>
      </c>
      <c r="N107" s="11">
        <v>8.459358051095677</v>
      </c>
      <c r="O107" s="10">
        <v>0.99999115619293377</v>
      </c>
      <c r="P107" s="11">
        <v>9.1018013249234908</v>
      </c>
      <c r="Q107" s="10">
        <v>0.99999084526976723</v>
      </c>
      <c r="R107" s="11">
        <v>9.2569544661620746</v>
      </c>
      <c r="S107" s="10">
        <v>0.99999356496176817</v>
      </c>
      <c r="T107" s="11">
        <v>7.7603143784498352</v>
      </c>
      <c r="U107" s="10">
        <v>0.99999364838236615</v>
      </c>
      <c r="V107" s="11">
        <v>7.7056425100233668</v>
      </c>
    </row>
    <row r="108" spans="3:27" x14ac:dyDescent="0.3">
      <c r="C108" s="10">
        <v>14733895.35623393</v>
      </c>
      <c r="D108" s="11">
        <v>98</v>
      </c>
      <c r="E108" s="10">
        <v>10267086.83925252</v>
      </c>
      <c r="F108">
        <v>98</v>
      </c>
      <c r="G108" s="10">
        <v>10406997.442446295</v>
      </c>
      <c r="H108" s="11">
        <v>98</v>
      </c>
      <c r="I108" s="10">
        <v>14297640.277073046</v>
      </c>
      <c r="J108" s="11">
        <v>98</v>
      </c>
      <c r="K108" s="10">
        <v>15128853.690199589</v>
      </c>
      <c r="L108" s="11">
        <v>98</v>
      </c>
      <c r="M108" s="10">
        <v>12800636.915454013</v>
      </c>
      <c r="N108" s="11">
        <v>98</v>
      </c>
      <c r="O108" s="10">
        <v>11081102.58087847</v>
      </c>
      <c r="P108" s="11">
        <v>98</v>
      </c>
      <c r="Q108" s="10">
        <v>10704750.478103114</v>
      </c>
      <c r="R108" s="11">
        <v>98</v>
      </c>
      <c r="S108" s="10">
        <v>15229026.749407744</v>
      </c>
      <c r="T108" s="11">
        <v>98</v>
      </c>
      <c r="U108" s="10">
        <v>15429042.362280961</v>
      </c>
      <c r="V108" s="11">
        <v>98</v>
      </c>
    </row>
    <row r="109" spans="3:27" x14ac:dyDescent="0.3">
      <c r="C109" s="12">
        <v>916266577.06148458</v>
      </c>
      <c r="D109" s="13">
        <v>6094.3913595825479</v>
      </c>
      <c r="E109" s="12">
        <v>915485454.85125792</v>
      </c>
      <c r="F109" s="16">
        <v>8738.3671707558115</v>
      </c>
      <c r="G109" s="12">
        <v>915694157.1258359</v>
      </c>
      <c r="H109" s="13">
        <v>8622.854756581728</v>
      </c>
      <c r="I109" s="12">
        <v>915970919.55902398</v>
      </c>
      <c r="J109" s="13">
        <v>6278.3192455000481</v>
      </c>
      <c r="K109" s="12">
        <v>915985022.85791433</v>
      </c>
      <c r="L109" s="13">
        <v>5933.4655538526367</v>
      </c>
      <c r="M109" s="12">
        <v>916023032.68929517</v>
      </c>
      <c r="N109" s="13">
        <v>7012.9523863904515</v>
      </c>
      <c r="O109" s="12">
        <v>917989424.80410004</v>
      </c>
      <c r="P109" s="13">
        <v>8118.5931611211427</v>
      </c>
      <c r="Q109" s="12">
        <v>917302978.27567673</v>
      </c>
      <c r="R109" s="13">
        <v>8397.7381868826033</v>
      </c>
      <c r="S109" s="12">
        <v>917129747.45007563</v>
      </c>
      <c r="T109" s="13">
        <v>5901.8029667327746</v>
      </c>
      <c r="U109" s="12">
        <v>916129114.19141865</v>
      </c>
      <c r="V109" s="13">
        <v>5818.938796243363</v>
      </c>
    </row>
    <row r="111" spans="3:27" x14ac:dyDescent="0.3">
      <c r="C111" t="s">
        <v>351</v>
      </c>
      <c r="G111" s="2" t="s">
        <v>358</v>
      </c>
      <c r="J111" t="s">
        <v>359</v>
      </c>
    </row>
    <row r="112" spans="3:27" x14ac:dyDescent="0.3">
      <c r="C112" s="4"/>
      <c r="G112" t="s">
        <v>354</v>
      </c>
      <c r="H112" t="s">
        <v>355</v>
      </c>
    </row>
    <row r="113" spans="2:13" x14ac:dyDescent="0.3">
      <c r="B113" s="14"/>
      <c r="C113" s="15" t="s">
        <v>354</v>
      </c>
      <c r="D113" s="9" t="s">
        <v>355</v>
      </c>
      <c r="E113" t="s">
        <v>360</v>
      </c>
      <c r="G113">
        <v>11</v>
      </c>
      <c r="H113">
        <v>14</v>
      </c>
      <c r="J113" s="14"/>
      <c r="K113" s="15" t="s">
        <v>354</v>
      </c>
      <c r="L113" s="9" t="s">
        <v>355</v>
      </c>
      <c r="M113" t="s">
        <v>360</v>
      </c>
    </row>
    <row r="114" spans="2:13" x14ac:dyDescent="0.3">
      <c r="B114" s="10" t="s">
        <v>357</v>
      </c>
      <c r="C114">
        <f>AVERAGE(C105,E105,G105,I105,K105,M105,O105,Q105,S105,U105)</f>
        <v>11.00124147697708</v>
      </c>
      <c r="D114" s="11">
        <f>AVERAGE(D105,F105,H105,J105,L105,N105,P105,R105,T105,V105)</f>
        <v>13.373770509745464</v>
      </c>
      <c r="E114">
        <f>AVERAGE(D107,F107,H107,J107,L107,N107,P107,R107,T107,V107)</f>
        <v>8.4778155994199036</v>
      </c>
      <c r="J114" s="10" t="s">
        <v>357</v>
      </c>
      <c r="K114">
        <v>10.999248425130762</v>
      </c>
      <c r="L114" s="11">
        <v>14.39984534618543</v>
      </c>
      <c r="M114">
        <v>8.5798335111756572</v>
      </c>
    </row>
    <row r="115" spans="2:13" x14ac:dyDescent="0.3">
      <c r="B115" s="10" t="s">
        <v>352</v>
      </c>
      <c r="C115">
        <f>MIN(C105,E105,G105,I105,K105,M105,O105,Q105,S105,U105)</f>
        <v>10.994313337067737</v>
      </c>
      <c r="D115" s="11">
        <f>MIN(D105,F105,H105,J105,L105,N105,P105,R105,T105,V105)</f>
        <v>9.381409812093807</v>
      </c>
      <c r="E115" s="11">
        <f>MIN(D107,F107,H107,J107,L107,N107,P107,R107,T107,V107)</f>
        <v>7.7056425100233668</v>
      </c>
      <c r="J115" s="10" t="s">
        <v>352</v>
      </c>
      <c r="K115">
        <v>10.994477331015542</v>
      </c>
      <c r="L115" s="11">
        <v>12.591319651784033</v>
      </c>
      <c r="M115">
        <v>7.7491532903948492</v>
      </c>
    </row>
    <row r="116" spans="2:13" x14ac:dyDescent="0.3">
      <c r="B116" s="10" t="s">
        <v>353</v>
      </c>
      <c r="C116">
        <f>MAX(C105,E105,G105,I105,K105,M105,O105,Q105,S105,U105)</f>
        <v>11.00853208832096</v>
      </c>
      <c r="D116" s="11">
        <f>MAX(D105,F105,H105,J105,L105,N105,P105,R105,T105,V105)</f>
        <v>17.178515861422966</v>
      </c>
      <c r="E116" s="11">
        <f>MAX(D107,F107,H107,J107,L107,N107,P107,R107,T107,V107)</f>
        <v>9.4428285988091449</v>
      </c>
      <c r="J116" s="10" t="s">
        <v>353</v>
      </c>
      <c r="K116">
        <v>11.00264784561983</v>
      </c>
      <c r="L116" s="11">
        <v>16.938115126434241</v>
      </c>
      <c r="M116">
        <v>9.6989610537075688</v>
      </c>
    </row>
    <row r="117" spans="2:13" x14ac:dyDescent="0.3">
      <c r="B117" s="12" t="s">
        <v>356</v>
      </c>
      <c r="C117" s="16">
        <f>C116-C115</f>
        <v>1.4218751253222806E-2</v>
      </c>
      <c r="D117" s="13">
        <f>D116-D115</f>
        <v>7.7971060493291589</v>
      </c>
      <c r="E117" s="13">
        <f>E116-E115</f>
        <v>1.7371860887857782</v>
      </c>
      <c r="J117" s="12" t="s">
        <v>356</v>
      </c>
      <c r="K117" s="16">
        <v>8.1705146042878596E-3</v>
      </c>
      <c r="L117" s="13">
        <v>4.3467954746502073</v>
      </c>
      <c r="M117">
        <v>1.9498077633127195</v>
      </c>
    </row>
    <row r="120" spans="2:13" x14ac:dyDescent="0.3">
      <c r="C120" s="18" t="s">
        <v>365</v>
      </c>
      <c r="D120" s="18"/>
      <c r="E120" s="18"/>
      <c r="F120" s="18"/>
      <c r="G120" s="18"/>
      <c r="H120" s="18"/>
      <c r="I120" s="18"/>
      <c r="J120" s="18"/>
    </row>
    <row r="121" spans="2:13" x14ac:dyDescent="0.3">
      <c r="C121" s="18"/>
      <c r="D121" s="18"/>
      <c r="E121" s="18"/>
      <c r="F121" s="18"/>
      <c r="G121" s="18"/>
      <c r="H121" s="18"/>
      <c r="I121" s="18"/>
      <c r="J121" s="18"/>
    </row>
    <row r="122" spans="2:13" x14ac:dyDescent="0.3">
      <c r="C122" s="18"/>
      <c r="D122" s="18"/>
      <c r="E122" s="18"/>
      <c r="F122" s="18"/>
      <c r="G122" s="18"/>
      <c r="H122" s="18"/>
      <c r="I122" s="18"/>
      <c r="J122" s="18"/>
    </row>
  </sheetData>
  <mergeCells count="1">
    <mergeCell ref="C120:J12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Станд.норм.распр.</vt:lpstr>
      <vt:lpstr>Задание</vt:lpstr>
      <vt:lpstr>1.</vt:lpstr>
      <vt:lpstr>2.</vt:lpstr>
      <vt:lpstr>3.</vt:lpstr>
      <vt:lpstr>4.</vt:lpstr>
      <vt:lpstr>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Щепетова Светлана Евгеньевна</dc:creator>
  <cp:lastModifiedBy>Aknas Macefg</cp:lastModifiedBy>
  <dcterms:created xsi:type="dcterms:W3CDTF">2016-09-14T17:29:31Z</dcterms:created>
  <dcterms:modified xsi:type="dcterms:W3CDTF">2026-04-07T15:18:29Z</dcterms:modified>
</cp:coreProperties>
</file>